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ohen/Desktop/"/>
    </mc:Choice>
  </mc:AlternateContent>
  <xr:revisionPtr revIDLastSave="0" documentId="8_{BF9D4CE7-9F45-554F-9491-21AF6F162A52}" xr6:coauthVersionLast="47" xr6:coauthVersionMax="47" xr10:uidLastSave="{00000000-0000-0000-0000-000000000000}"/>
  <bookViews>
    <workbookView xWindow="16260" yWindow="780" windowWidth="25060" windowHeight="19700" activeTab="2" xr2:uid="{3784FFE0-16E9-CE4A-8F25-92EFA80F9BA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5" i="1" l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R32" i="1"/>
  <c r="S32" i="1"/>
  <c r="T32" i="1"/>
  <c r="Q26" i="1"/>
  <c r="Q27" i="1"/>
  <c r="Q28" i="1"/>
  <c r="Q29" i="1"/>
  <c r="Q30" i="1"/>
  <c r="Q31" i="1"/>
  <c r="Q32" i="1"/>
  <c r="Q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K25" i="1"/>
  <c r="L25" i="1"/>
  <c r="M25" i="1"/>
  <c r="J25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C32" i="1"/>
  <c r="C31" i="1"/>
  <c r="C26" i="1"/>
  <c r="C27" i="1"/>
  <c r="C28" i="1"/>
  <c r="C29" i="1"/>
  <c r="C30" i="1"/>
  <c r="C25" i="1"/>
</calcChain>
</file>

<file path=xl/sharedStrings.xml><?xml version="1.0" encoding="utf-8"?>
<sst xmlns="http://schemas.openxmlformats.org/spreadsheetml/2006/main" count="446" uniqueCount="165">
  <si>
    <t>MONTH</t>
  </si>
  <si>
    <t>n check ins</t>
  </si>
  <si>
    <t>Count</t>
  </si>
  <si>
    <t>N measures</t>
  </si>
  <si>
    <t>Month</t>
  </si>
  <si>
    <t>Treated</t>
  </si>
  <si>
    <t>PostTreatTime</t>
  </si>
  <si>
    <t>TXNAME</t>
  </si>
  <si>
    <t>treated</t>
  </si>
  <si>
    <t>prob</t>
  </si>
  <si>
    <t>SE</t>
  </si>
  <si>
    <t>asymp.LCL</t>
  </si>
  <si>
    <t>asymp.UCL</t>
  </si>
  <si>
    <t>CT</t>
  </si>
  <si>
    <t>Inf</t>
  </si>
  <si>
    <t>GDC</t>
  </si>
  <si>
    <t>IDC</t>
  </si>
  <si>
    <t>Days</t>
  </si>
  <si>
    <t>GEE:</t>
  </si>
  <si>
    <t>Betabinom GLMM</t>
  </si>
  <si>
    <t>LCL</t>
  </si>
  <si>
    <t>UCL</t>
  </si>
  <si>
    <t>contrast</t>
  </si>
  <si>
    <t>estimate</t>
  </si>
  <si>
    <t>z.ratio</t>
  </si>
  <si>
    <t>p.value</t>
  </si>
  <si>
    <t>CT - GDC</t>
  </si>
  <si>
    <t>CT - IDC</t>
  </si>
  <si>
    <t>CT - SE</t>
  </si>
  <si>
    <t>GDC - IDC</t>
  </si>
  <si>
    <t>GDC - SE</t>
  </si>
  <si>
    <t>IDC - SE</t>
  </si>
  <si>
    <t>Contrats of trends: logit scale, tukey adjusted</t>
  </si>
  <si>
    <t>Binom GLMM with ar1</t>
  </si>
  <si>
    <t>treated.trend</t>
  </si>
  <si>
    <t>odds.ratio</t>
  </si>
  <si>
    <t>treated0 / treated1</t>
  </si>
  <si>
    <t>GEE</t>
  </si>
  <si>
    <t>BB GLMM</t>
  </si>
  <si>
    <t>B R GLMM</t>
  </si>
  <si>
    <t xml:space="preserve">Tukey p </t>
  </si>
  <si>
    <t>Tukey p</t>
  </si>
  <si>
    <t>Contrast</t>
  </si>
  <si>
    <t>postTreatTime.trend</t>
  </si>
  <si>
    <t>Model</t>
  </si>
  <si>
    <t>B GLMM Ar1</t>
  </si>
  <si>
    <t>QB GEE</t>
  </si>
  <si>
    <t>Df</t>
  </si>
  <si>
    <t>AIC</t>
  </si>
  <si>
    <t>BIC</t>
  </si>
  <si>
    <t>logLik</t>
  </si>
  <si>
    <t>mixturecheck6</t>
  </si>
  <si>
    <t>mixturecheck</t>
  </si>
  <si>
    <t>mixturecheck2</t>
  </si>
  <si>
    <t>mixturecheck4</t>
  </si>
  <si>
    <t>mixturecheck5</t>
  </si>
  <si>
    <t>mixturecheck3</t>
  </si>
  <si>
    <t>"-2LL"</t>
  </si>
  <si>
    <t>Binom_model</t>
  </si>
  <si>
    <t>Estimate</t>
  </si>
  <si>
    <t>INT CT</t>
  </si>
  <si>
    <t>INT GDC</t>
  </si>
  <si>
    <t>INT IDC</t>
  </si>
  <si>
    <t>INT SE</t>
  </si>
  <si>
    <t xml:space="preserve">Treated IDC </t>
  </si>
  <si>
    <t>Treated GDC</t>
  </si>
  <si>
    <t>Treated SE</t>
  </si>
  <si>
    <t>posttreat IDC</t>
  </si>
  <si>
    <t>Posttreat SE</t>
  </si>
  <si>
    <t>Posttreat GDC</t>
  </si>
  <si>
    <t>Posttreat CT - Reference</t>
  </si>
  <si>
    <t>Random Effect</t>
  </si>
  <si>
    <t>Treated CT - Reference</t>
  </si>
  <si>
    <t>Before</t>
  </si>
  <si>
    <t>After</t>
  </si>
  <si>
    <t>Random Effects</t>
  </si>
  <si>
    <t>AR1</t>
  </si>
  <si>
    <t>LMM</t>
  </si>
  <si>
    <t xml:space="preserve">Est Error </t>
  </si>
  <si>
    <t>L 95% CI</t>
  </si>
  <si>
    <t>U 95% CI</t>
  </si>
  <si>
    <t>Rhat</t>
  </si>
  <si>
    <t>BB sderr</t>
  </si>
  <si>
    <t>Phi/Sigma</t>
  </si>
  <si>
    <t>Intercepts (sd)</t>
  </si>
  <si>
    <t>Treated Slopes (sd)</t>
  </si>
  <si>
    <t>PostTreatTime Slopes (sd)</t>
  </si>
  <si>
    <t>Beta GLMM</t>
  </si>
  <si>
    <t>Beta  sderr</t>
  </si>
  <si>
    <t xml:space="preserve"> TXNAME treated.trend lower.HPD upper.HPD</t>
  </si>
  <si>
    <t xml:space="preserve"> CT             -1.74     -2.16     -1.35</t>
  </si>
  <si>
    <t xml:space="preserve"> GDC            -2.17     -2.58     -1.76</t>
  </si>
  <si>
    <t xml:space="preserve"> IDC            -2.35     -2.78     -1.93</t>
  </si>
  <si>
    <t xml:space="preserve"> SE             -1.83     -2.22     -1.42</t>
  </si>
  <si>
    <t xml:space="preserve">Point estimate displayed: median </t>
  </si>
  <si>
    <t xml:space="preserve">HPD interval probability: 0.95 </t>
  </si>
  <si>
    <t xml:space="preserve"> contrast  estimate lower.HPD upper.HPD</t>
  </si>
  <si>
    <t xml:space="preserve"> CT - GDC     0.432   -0.1490    0.9971</t>
  </si>
  <si>
    <t xml:space="preserve"> CT - IDC     0.616    0.0394    1.1762</t>
  </si>
  <si>
    <t xml:space="preserve"> CT - SE      0.086   -0.4835    0.6314</t>
  </si>
  <si>
    <t xml:space="preserve"> GDC - IDC    0.184   -0.3997    0.7663</t>
  </si>
  <si>
    <t xml:space="preserve"> GDC - SE    -0.343   -0.9400    0.1957</t>
  </si>
  <si>
    <t xml:space="preserve"> IDC - SE    -0.531   -1.1106    0.0558</t>
  </si>
  <si>
    <t>CLL:</t>
  </si>
  <si>
    <t>BB CLL:</t>
  </si>
  <si>
    <t>Beta CLL:</t>
  </si>
  <si>
    <t>TXNAME treated.trend lower.HPD upper.HPD</t>
  </si>
  <si>
    <t xml:space="preserve"> CT             -1.37     -1.66     -1.09</t>
  </si>
  <si>
    <t xml:space="preserve"> GDC            -1.67     -1.96     -1.39</t>
  </si>
  <si>
    <t xml:space="preserve"> IDC            -1.78     -2.08     -1.50</t>
  </si>
  <si>
    <t xml:space="preserve"> SE             -1.47     -1.75     -1.19</t>
  </si>
  <si>
    <t xml:space="preserve"> CT - GDC    0.2991   -0.0821    0.6811</t>
  </si>
  <si>
    <t xml:space="preserve"> CT - IDC    0.4159    0.0264    0.8017</t>
  </si>
  <si>
    <t xml:space="preserve"> CT - SE     0.0932   -0.2875    0.4786</t>
  </si>
  <si>
    <t xml:space="preserve"> GDC - IDC   0.1146   -0.2663    0.5064</t>
  </si>
  <si>
    <t xml:space="preserve"> GDC - SE   -0.2057   -0.5836    0.1830</t>
  </si>
  <si>
    <t xml:space="preserve"> IDC - SE   -0.3200   -0.6998    0.0694</t>
  </si>
  <si>
    <t>LMM:</t>
  </si>
  <si>
    <t>TXNAME treated.trend lower.HPD upper.HPD
 CT            -0.987     -1.17    -0.799
 GDC           -1.235     -1.43    -1.054
 IDC           -1.307     -1.50    -1.118
 SE            -1.099     -1.29    -0.917
Results are averaged over the levels of: treated, SITE 
Point estimate displayed: median 
HPD interval probability: 0.95 
 contrast  estimate lower.HPD upper.HPD
 CT - GDC    0.2497  -0.00879     0.514
 CT - IDC    0.3190   0.04845     0.589
 CT - SE     0.1115  -0.14788     0.378
 GDC - IDC   0.0706  -0.20466     0.326
 GDC - SE   -0.1367  -0.40789     0.121
 IDC - SE   -0.2069  -0.46934     0.063
Results are averaged over the levels of: treated, SITE 
Point estimate displayed: median 
HPD interval probability: 0.95 
Modify Chunk OptionsRun All Chunks AboveRun Current Chunk</t>
  </si>
  <si>
    <t>TXNAME postTreatTime.trend lower.HPD upper.HPD</t>
  </si>
  <si>
    <t xml:space="preserve"> CT                 -0.1080    -0.183   -0.0333</t>
  </si>
  <si>
    <t xml:space="preserve"> GDC                -0.0660    -0.143    0.0107</t>
  </si>
  <si>
    <t xml:space="preserve"> IDC                -0.1547    -0.242   -0.0681</t>
  </si>
  <si>
    <t xml:space="preserve"> SE                 -0.0608    -0.136    0.0169</t>
  </si>
  <si>
    <t xml:space="preserve">Results are averaged over the levels of: SITE </t>
  </si>
  <si>
    <t xml:space="preserve"> CT - GDC  -0.04281   -0.1525    0.0594</t>
  </si>
  <si>
    <t xml:space="preserve"> CT - IDC   0.04621   -0.0642    0.1575</t>
  </si>
  <si>
    <t xml:space="preserve"> CT - SE   -0.04687   -0.1525    0.0591</t>
  </si>
  <si>
    <t xml:space="preserve"> GDC - IDC  0.08802   -0.0240    0.2027</t>
  </si>
  <si>
    <t xml:space="preserve"> GDC - SE  -0.00486   -0.1163    0.0995</t>
  </si>
  <si>
    <t xml:space="preserve"> IDC - SE  -0.09367   -0.2068    0.0201</t>
  </si>
  <si>
    <t xml:space="preserve"> TXNAME postTreatTime.trend lower.HPD upper.HPD</t>
  </si>
  <si>
    <t xml:space="preserve"> CT                 -0.0581   -0.1048   -0.0133</t>
  </si>
  <si>
    <t xml:space="preserve"> GDC                -0.0273   -0.0743    0.0201</t>
  </si>
  <si>
    <t xml:space="preserve"> IDC                -0.0643   -0.1150   -0.0169</t>
  </si>
  <si>
    <t xml:space="preserve"> SE                 -0.0299   -0.0757    0.0183</t>
  </si>
  <si>
    <t xml:space="preserve"> CT - GDC  -0.03063   -0.0964    0.0338</t>
  </si>
  <si>
    <t xml:space="preserve"> CT - IDC   0.00586   -0.0592    0.0748</t>
  </si>
  <si>
    <t xml:space="preserve"> CT - SE   -0.02821   -0.0958    0.0358</t>
  </si>
  <si>
    <t xml:space="preserve"> GDC - IDC  0.03695   -0.0310    0.1044</t>
  </si>
  <si>
    <t xml:space="preserve"> GDC - SE   0.00262   -0.0638    0.0686</t>
  </si>
  <si>
    <t xml:space="preserve"> IDC - SE  -0.03433   -0.1022    0.0341</t>
  </si>
  <si>
    <t xml:space="preserve"> CT                 -0.0426   -0.0733   -0.0122</t>
  </si>
  <si>
    <t xml:space="preserve"> GDC                -0.0162   -0.0477    0.0141</t>
  </si>
  <si>
    <t xml:space="preserve"> IDC                -0.0420   -0.0748   -0.0102</t>
  </si>
  <si>
    <t xml:space="preserve"> SE                 -0.0186   -0.0491    0.0130</t>
  </si>
  <si>
    <t xml:space="preserve"> contrast   estimate lower.HPD upper.HPD</t>
  </si>
  <si>
    <t xml:space="preserve"> CT - GDC  -0.026347   -0.0702    0.0166</t>
  </si>
  <si>
    <t xml:space="preserve"> CT - IDC  -0.000442   -0.0455    0.0437</t>
  </si>
  <si>
    <t xml:space="preserve"> CT - SE   -0.023875   -0.0679    0.0197</t>
  </si>
  <si>
    <t xml:space="preserve"> GDC - IDC  0.025933   -0.0189    0.0706</t>
  </si>
  <si>
    <t xml:space="preserve"> GDC - SE   0.002358   -0.0410    0.0460</t>
  </si>
  <si>
    <t xml:space="preserve"> IDC - SE  -0.023393   -0.0677    0.0226</t>
  </si>
  <si>
    <t>PTT overall</t>
  </si>
  <si>
    <t xml:space="preserve"> 1       postTreatTime.trend lower.HPD upper.HPD</t>
  </si>
  <si>
    <t xml:space="preserve"> overall             -0.0974    -0.141   -0.0566</t>
  </si>
  <si>
    <t xml:space="preserve"> overall             -0.0449   -0.0678    -0.021</t>
  </si>
  <si>
    <t xml:space="preserve">beta </t>
  </si>
  <si>
    <t xml:space="preserve"> overall               -0.03   -0.0455   -0.0142</t>
  </si>
  <si>
    <t>Trend (Latent Scale)</t>
  </si>
  <si>
    <t>Beta binomial</t>
  </si>
  <si>
    <t xml:space="preserve">Beta </t>
  </si>
  <si>
    <t xml:space="preserve">Overall Change After Additional Treatment </t>
  </si>
  <si>
    <t>Upper CL</t>
  </si>
  <si>
    <t>Lower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</si>
</sst>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"/>
  </numFmts>
  <fonts count="6">
    <font>
      <sz val="12"/>
      <color theme="1"/>
      <name val="Aptos Narrow"/>
      <family val="2"/>
      <scheme val="minor"/>
    </font>
    <font>
      <b/>
      <sz val="12"/>
      <color theme="1"/>
      <name val="Times"/>
    </font>
    <font>
      <sz val="12"/>
      <color theme="1"/>
      <name val="Times"/>
    </font>
    <font>
      <sz val="12"/>
      <color theme="2" tint="-0.249977111117893"/>
      <name val="Aptos Narrow"/>
      <family val="2"/>
      <scheme val="minor"/>
    </font>
    <font>
      <sz val="12"/>
      <color rgb="FFE6E1DC"/>
      <name val="Menlo-Regular"/>
      <family val="3"/>
    </font>
    <font>
      <sz val="12"/>
      <color theme="2" tint="-0.249977111117893"/>
      <name val="Menlo-Regular"/>
      <family val="3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165" fontId="2" fillId="0" borderId="0" xfId="0" applyNumberFormat="1" applyFont="1"/>
    <xf numFmtId="2" fontId="2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164" fontId="2" fillId="0" borderId="0" xfId="0" applyNumberFormat="1" applyFont="1"/>
    <xf numFmtId="165" fontId="2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2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165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2" fillId="0" borderId="0" xfId="0" applyNumberFormat="1" applyFont="1"/>
    <xf numFmtId="10" fontId="1" fillId="0" borderId="0" xfId="0" applyNumberFormat="1" applyFont="1"/>
    <xf numFmtId="166" fontId="0" fillId="0" borderId="0" xfId="0" applyNumberFormat="1"/>
    <xf numFmtId="0" fontId="3" fillId="2" borderId="1" xfId="0" applyFont="1" applyFill="1" applyBorder="1"/>
    <xf numFmtId="0" fontId="4" fillId="0" borderId="0" xfId="0" applyFont="1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5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A135-BA8D-F848-B1B4-F12F0BA45A62}">
  <dimension ref="A3:AD98"/>
  <sheetViews>
    <sheetView topLeftCell="A4" workbookViewId="0">
      <selection activeCell="A9" sqref="A9:H11"/>
    </sheetView>
  </sheetViews>
  <sheetFormatPr baseColWidth="10" defaultRowHeight="16"/>
  <cols>
    <col min="1" max="1" width="20.83203125" customWidth="1"/>
    <col min="2" max="2" width="9" customWidth="1"/>
    <col min="3" max="3" width="8" customWidth="1"/>
    <col min="4" max="4" width="9" customWidth="1"/>
    <col min="5" max="5" width="9.6640625" customWidth="1"/>
    <col min="6" max="6" width="11.33203125" customWidth="1"/>
    <col min="9" max="9" width="8.6640625" customWidth="1"/>
    <col min="10" max="10" width="7.83203125" customWidth="1"/>
    <col min="11" max="11" width="9.1640625" customWidth="1"/>
    <col min="12" max="12" width="8.33203125" customWidth="1"/>
    <col min="13" max="13" width="7.33203125" customWidth="1"/>
    <col min="15" max="15" width="8.1640625" customWidth="1"/>
    <col min="16" max="16" width="7.5" customWidth="1"/>
    <col min="17" max="17" width="8.1640625" customWidth="1"/>
    <col min="18" max="18" width="7.6640625" customWidth="1"/>
    <col min="19" max="19" width="8" customWidth="1"/>
    <col min="20" max="20" width="7.83203125" customWidth="1"/>
  </cols>
  <sheetData>
    <row r="3" spans="1:30">
      <c r="A3" t="s">
        <v>3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</row>
    <row r="4" spans="1:30">
      <c r="A4" t="s">
        <v>2</v>
      </c>
      <c r="B4">
        <v>28</v>
      </c>
      <c r="C4">
        <v>27</v>
      </c>
      <c r="D4">
        <v>37</v>
      </c>
      <c r="E4">
        <v>29</v>
      </c>
      <c r="F4">
        <v>49</v>
      </c>
      <c r="G4">
        <v>76</v>
      </c>
      <c r="H4">
        <v>241</v>
      </c>
    </row>
    <row r="6" spans="1:30">
      <c r="A6" t="s">
        <v>0</v>
      </c>
      <c r="B6">
        <v>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</row>
    <row r="7" spans="1:30">
      <c r="A7" t="s">
        <v>1</v>
      </c>
      <c r="B7">
        <v>487</v>
      </c>
      <c r="C7">
        <v>385</v>
      </c>
      <c r="D7">
        <v>367</v>
      </c>
      <c r="E7">
        <v>350</v>
      </c>
      <c r="F7">
        <v>364</v>
      </c>
      <c r="G7">
        <v>366</v>
      </c>
      <c r="H7">
        <v>378</v>
      </c>
    </row>
    <row r="9" spans="1:30">
      <c r="A9" t="s">
        <v>4</v>
      </c>
      <c r="B9">
        <v>0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</row>
    <row r="10" spans="1:30">
      <c r="A10" t="s">
        <v>5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30">
      <c r="A11" t="s">
        <v>6</v>
      </c>
      <c r="B11">
        <v>0</v>
      </c>
      <c r="C11">
        <v>0</v>
      </c>
      <c r="D11">
        <v>1</v>
      </c>
      <c r="E11">
        <v>2</v>
      </c>
      <c r="F11">
        <v>3</v>
      </c>
      <c r="G11">
        <v>4</v>
      </c>
      <c r="H11">
        <v>5</v>
      </c>
    </row>
    <row r="14" spans="1:30">
      <c r="A14" t="s">
        <v>18</v>
      </c>
      <c r="H14" t="s">
        <v>19</v>
      </c>
      <c r="O14" t="s">
        <v>33</v>
      </c>
    </row>
    <row r="15" spans="1:30">
      <c r="A15" s="6" t="s">
        <v>7</v>
      </c>
      <c r="B15" s="6" t="s">
        <v>8</v>
      </c>
      <c r="C15" s="6" t="s">
        <v>9</v>
      </c>
      <c r="D15" s="6" t="s">
        <v>10</v>
      </c>
      <c r="E15" s="6" t="s">
        <v>20</v>
      </c>
      <c r="F15" s="6" t="s">
        <v>21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O15" s="17" t="s">
        <v>7</v>
      </c>
      <c r="P15" s="18" t="s">
        <v>8</v>
      </c>
      <c r="Q15" s="17" t="s">
        <v>9</v>
      </c>
      <c r="R15" s="17" t="s">
        <v>10</v>
      </c>
      <c r="S15" s="17" t="s">
        <v>11</v>
      </c>
      <c r="T15" s="17" t="s">
        <v>12</v>
      </c>
      <c r="W15" s="6" t="s">
        <v>7</v>
      </c>
      <c r="X15" s="6" t="s">
        <v>8</v>
      </c>
      <c r="Y15" s="9" t="s">
        <v>37</v>
      </c>
      <c r="Z15" s="9" t="s">
        <v>10</v>
      </c>
      <c r="AA15" t="s">
        <v>38</v>
      </c>
      <c r="AB15" t="s">
        <v>10</v>
      </c>
      <c r="AC15" t="s">
        <v>45</v>
      </c>
      <c r="AD15" t="s">
        <v>10</v>
      </c>
    </row>
    <row r="16" spans="1:30">
      <c r="A16" s="7" t="s">
        <v>13</v>
      </c>
      <c r="B16" s="7">
        <v>0</v>
      </c>
      <c r="C16" s="8">
        <v>0.23769000000000001</v>
      </c>
      <c r="D16" s="8">
        <v>2.59834E-2</v>
      </c>
      <c r="E16" s="8">
        <v>0.19054889999999999</v>
      </c>
      <c r="F16" s="8">
        <v>0.2922825</v>
      </c>
      <c r="H16" s="2" t="s">
        <v>13</v>
      </c>
      <c r="I16" s="2">
        <v>0</v>
      </c>
      <c r="J16" s="12">
        <v>0.1840543</v>
      </c>
      <c r="K16" s="12">
        <v>2.71074E-2</v>
      </c>
      <c r="L16" s="12">
        <v>0.13670940000000001</v>
      </c>
      <c r="M16" s="12">
        <v>0.2431769</v>
      </c>
      <c r="O16" s="5" t="s">
        <v>13</v>
      </c>
      <c r="P16" s="19">
        <v>0</v>
      </c>
      <c r="Q16" s="5">
        <v>0.14702709999999999</v>
      </c>
      <c r="R16" s="5">
        <v>2.5643300000000001E-2</v>
      </c>
      <c r="S16" s="5">
        <v>0.10350470000000001</v>
      </c>
      <c r="T16" s="5">
        <v>0.20467199999999999</v>
      </c>
      <c r="W16" s="7" t="s">
        <v>13</v>
      </c>
      <c r="X16" s="7" t="s">
        <v>73</v>
      </c>
      <c r="Y16" s="10">
        <v>7.1307</v>
      </c>
      <c r="Z16" s="13">
        <v>0.77950200000000003</v>
      </c>
      <c r="AA16" s="22">
        <v>5.5216289999999999</v>
      </c>
      <c r="AB16" s="3">
        <v>0.813222</v>
      </c>
      <c r="AC16" s="22">
        <v>4.4108130000000001</v>
      </c>
      <c r="AD16" s="3">
        <v>0.76929900000000007</v>
      </c>
    </row>
    <row r="17" spans="1:30">
      <c r="A17" s="7" t="s">
        <v>15</v>
      </c>
      <c r="B17" s="7">
        <v>0</v>
      </c>
      <c r="C17" s="8">
        <v>0.2317217</v>
      </c>
      <c r="D17" s="8">
        <v>2.5697399999999999E-2</v>
      </c>
      <c r="E17" s="8">
        <v>0.18519679999999999</v>
      </c>
      <c r="F17" s="8">
        <v>0.28583429999999999</v>
      </c>
      <c r="H17" s="2" t="s">
        <v>15</v>
      </c>
      <c r="I17" s="2">
        <v>0</v>
      </c>
      <c r="J17" s="12">
        <v>0.1892211</v>
      </c>
      <c r="K17" s="12">
        <v>2.7468200000000002E-2</v>
      </c>
      <c r="L17" s="12">
        <v>0.14112240000000001</v>
      </c>
      <c r="M17" s="12">
        <v>0.24896119999999999</v>
      </c>
      <c r="O17" s="5" t="s">
        <v>15</v>
      </c>
      <c r="P17" s="19">
        <v>0</v>
      </c>
      <c r="Q17" s="5">
        <v>0.1462079</v>
      </c>
      <c r="R17" s="5">
        <v>2.5205000000000002E-2</v>
      </c>
      <c r="S17" s="5">
        <v>0.10336339999999999</v>
      </c>
      <c r="T17" s="5">
        <v>0.202795</v>
      </c>
      <c r="W17" s="7" t="s">
        <v>15</v>
      </c>
      <c r="X17" s="7" t="s">
        <v>73</v>
      </c>
      <c r="Y17" s="10">
        <v>6.951651</v>
      </c>
      <c r="Z17" s="13">
        <v>0.770922</v>
      </c>
      <c r="AA17" s="22">
        <v>5.6766329999999998</v>
      </c>
      <c r="AB17" s="3">
        <v>0.82404600000000006</v>
      </c>
      <c r="AC17" s="22">
        <v>4.3862370000000004</v>
      </c>
      <c r="AD17" s="3">
        <v>0.7561500000000001</v>
      </c>
    </row>
    <row r="18" spans="1:30">
      <c r="A18" s="7" t="s">
        <v>16</v>
      </c>
      <c r="B18" s="7">
        <v>0</v>
      </c>
      <c r="C18" s="8">
        <v>0.2561947</v>
      </c>
      <c r="D18" s="8">
        <v>2.6151299999999999E-2</v>
      </c>
      <c r="E18" s="8">
        <v>0.20836370000000001</v>
      </c>
      <c r="F18" s="8">
        <v>0.31069619999999998</v>
      </c>
      <c r="H18" s="2" t="s">
        <v>16</v>
      </c>
      <c r="I18" s="2">
        <v>0</v>
      </c>
      <c r="J18" s="12">
        <v>0.21147150000000001</v>
      </c>
      <c r="K18" s="12">
        <v>3.0941E-2</v>
      </c>
      <c r="L18" s="12">
        <v>0.15712809999999999</v>
      </c>
      <c r="M18" s="12">
        <v>0.27840160000000003</v>
      </c>
      <c r="O18" s="5" t="s">
        <v>16</v>
      </c>
      <c r="P18" s="19">
        <v>0</v>
      </c>
      <c r="Q18" s="5">
        <v>0.16923869999999999</v>
      </c>
      <c r="R18" s="5">
        <v>2.93998E-2</v>
      </c>
      <c r="S18" s="5">
        <v>0.1191111</v>
      </c>
      <c r="T18" s="5">
        <v>0.2348383</v>
      </c>
      <c r="W18" s="7" t="s">
        <v>16</v>
      </c>
      <c r="X18" s="7" t="s">
        <v>73</v>
      </c>
      <c r="Y18" s="10">
        <v>7.6858409999999999</v>
      </c>
      <c r="Z18" s="13">
        <v>0.78453899999999999</v>
      </c>
      <c r="AA18" s="22">
        <v>6.3441450000000001</v>
      </c>
      <c r="AB18" s="3">
        <v>0.92823</v>
      </c>
      <c r="AC18" s="22">
        <v>5.0771609999999994</v>
      </c>
      <c r="AD18" s="3">
        <v>0.88199400000000006</v>
      </c>
    </row>
    <row r="19" spans="1:30">
      <c r="A19" s="7" t="s">
        <v>10</v>
      </c>
      <c r="B19" s="7">
        <v>0</v>
      </c>
      <c r="C19" s="8">
        <v>0.23208619999999999</v>
      </c>
      <c r="D19" s="8">
        <v>2.1895299999999999E-2</v>
      </c>
      <c r="E19" s="8">
        <v>0.19195480000000001</v>
      </c>
      <c r="F19" s="8">
        <v>0.27772400000000003</v>
      </c>
      <c r="H19" s="2" t="s">
        <v>10</v>
      </c>
      <c r="I19" s="2">
        <v>0</v>
      </c>
      <c r="J19" s="12">
        <v>0.2008645</v>
      </c>
      <c r="K19" s="12">
        <v>2.8609800000000001E-2</v>
      </c>
      <c r="L19" s="12">
        <v>0.15055779999999999</v>
      </c>
      <c r="M19" s="12">
        <v>0.26278049999999997</v>
      </c>
      <c r="O19" s="5" t="s">
        <v>10</v>
      </c>
      <c r="P19" s="19">
        <v>0</v>
      </c>
      <c r="Q19" s="5">
        <v>0.15605289999999999</v>
      </c>
      <c r="R19" s="5">
        <v>2.6401999999999998E-2</v>
      </c>
      <c r="S19" s="5">
        <v>0.1109762</v>
      </c>
      <c r="T19" s="5">
        <v>0.21501100000000001</v>
      </c>
      <c r="W19" s="7" t="s">
        <v>10</v>
      </c>
      <c r="X19" s="7" t="s">
        <v>73</v>
      </c>
      <c r="Y19" s="10">
        <v>6.9625859999999999</v>
      </c>
      <c r="Z19" s="13">
        <v>0.65685899999999997</v>
      </c>
      <c r="AA19" s="22">
        <v>6.0259350000000005</v>
      </c>
      <c r="AB19" s="3">
        <v>0.858294</v>
      </c>
      <c r="AC19" s="22">
        <v>4.6815869999999995</v>
      </c>
      <c r="AD19" s="3">
        <v>0.79205999999999999</v>
      </c>
    </row>
    <row r="20" spans="1:30">
      <c r="A20" s="7" t="s">
        <v>13</v>
      </c>
      <c r="B20" s="7">
        <v>1</v>
      </c>
      <c r="C20" s="8">
        <v>0.1430352</v>
      </c>
      <c r="D20" s="8">
        <v>1.6917600000000001E-2</v>
      </c>
      <c r="E20" s="8">
        <v>0.1129643</v>
      </c>
      <c r="F20" s="8">
        <v>0.17949129999999999</v>
      </c>
      <c r="H20" s="2" t="s">
        <v>13</v>
      </c>
      <c r="I20" s="2">
        <v>1</v>
      </c>
      <c r="J20" s="12">
        <v>7.6619900000000005E-2</v>
      </c>
      <c r="K20" s="12">
        <v>1.3855299999999999E-2</v>
      </c>
      <c r="L20" s="12">
        <v>5.3503700000000001E-2</v>
      </c>
      <c r="M20" s="12">
        <v>0.1085777</v>
      </c>
      <c r="O20" s="5" t="s">
        <v>13</v>
      </c>
      <c r="P20" s="19">
        <v>1</v>
      </c>
      <c r="Q20" s="5">
        <v>5.5767700000000003E-2</v>
      </c>
      <c r="R20" s="5">
        <v>1.22793E-2</v>
      </c>
      <c r="S20" s="5">
        <v>3.60469E-2</v>
      </c>
      <c r="T20" s="5">
        <v>8.5322700000000001E-2</v>
      </c>
      <c r="W20" s="7" t="s">
        <v>13</v>
      </c>
      <c r="X20" s="7" t="s">
        <v>74</v>
      </c>
      <c r="Y20" s="10">
        <v>4.2910560000000002</v>
      </c>
      <c r="Z20" s="13">
        <v>0.50752800000000009</v>
      </c>
      <c r="AA20" s="22">
        <v>2.298597</v>
      </c>
      <c r="AB20" s="3">
        <v>0.415659</v>
      </c>
      <c r="AC20" s="22">
        <v>1.6730310000000002</v>
      </c>
      <c r="AD20" s="3">
        <v>0.36837900000000001</v>
      </c>
    </row>
    <row r="21" spans="1:30">
      <c r="A21" s="7" t="s">
        <v>15</v>
      </c>
      <c r="B21" s="7">
        <v>1</v>
      </c>
      <c r="C21" s="8">
        <v>0.1463691</v>
      </c>
      <c r="D21" s="8">
        <v>1.76189E-2</v>
      </c>
      <c r="E21" s="8">
        <v>0.1150924</v>
      </c>
      <c r="F21" s="8">
        <v>0.18437439999999999</v>
      </c>
      <c r="H21" s="2" t="s">
        <v>15</v>
      </c>
      <c r="I21" s="2">
        <v>1</v>
      </c>
      <c r="J21" s="12">
        <v>8.3805099999999993E-2</v>
      </c>
      <c r="K21" s="12">
        <v>1.4831199999999999E-2</v>
      </c>
      <c r="L21" s="12">
        <v>5.8949099999999997E-2</v>
      </c>
      <c r="M21" s="12">
        <v>0.1178294</v>
      </c>
      <c r="O21" s="5" t="s">
        <v>15</v>
      </c>
      <c r="P21" s="19">
        <v>1</v>
      </c>
      <c r="Q21" s="5">
        <v>6.1808299999999997E-2</v>
      </c>
      <c r="R21" s="5">
        <v>1.3374E-2</v>
      </c>
      <c r="S21" s="5">
        <v>4.0235100000000003E-2</v>
      </c>
      <c r="T21" s="5">
        <v>9.3817899999999996E-2</v>
      </c>
      <c r="W21" s="7" t="s">
        <v>15</v>
      </c>
      <c r="X21" s="7" t="s">
        <v>74</v>
      </c>
      <c r="Y21" s="10">
        <v>4.3910730000000004</v>
      </c>
      <c r="Z21" s="13">
        <v>0.52856700000000001</v>
      </c>
      <c r="AA21" s="22">
        <v>2.5141529999999999</v>
      </c>
      <c r="AB21" s="3">
        <v>0.444936</v>
      </c>
      <c r="AC21" s="22">
        <v>1.8542489999999998</v>
      </c>
      <c r="AD21" s="3">
        <v>0.40122000000000002</v>
      </c>
    </row>
    <row r="22" spans="1:30">
      <c r="A22" s="7" t="s">
        <v>16</v>
      </c>
      <c r="B22" s="7">
        <v>1</v>
      </c>
      <c r="C22" s="8">
        <v>0.1227717</v>
      </c>
      <c r="D22" s="8">
        <v>1.60445E-2</v>
      </c>
      <c r="E22" s="8">
        <v>9.4625000000000001E-2</v>
      </c>
      <c r="F22" s="8">
        <v>0.1578312</v>
      </c>
      <c r="H22" s="2" t="s">
        <v>16</v>
      </c>
      <c r="I22" s="2">
        <v>1</v>
      </c>
      <c r="J22" s="12">
        <v>5.94593E-2</v>
      </c>
      <c r="K22" s="12">
        <v>1.11676E-2</v>
      </c>
      <c r="L22" s="12">
        <v>4.0990800000000001E-2</v>
      </c>
      <c r="M22" s="12">
        <v>8.5507E-2</v>
      </c>
      <c r="O22" s="5" t="s">
        <v>16</v>
      </c>
      <c r="P22" s="19">
        <v>1</v>
      </c>
      <c r="Q22" s="5">
        <v>4.0013100000000003E-2</v>
      </c>
      <c r="R22" s="5">
        <v>9.1056999999999996E-3</v>
      </c>
      <c r="S22" s="5">
        <v>2.5522900000000001E-2</v>
      </c>
      <c r="T22" s="5">
        <v>6.22049E-2</v>
      </c>
      <c r="W22" s="7" t="s">
        <v>16</v>
      </c>
      <c r="X22" s="7" t="s">
        <v>74</v>
      </c>
      <c r="Y22" s="10">
        <v>3.6831510000000001</v>
      </c>
      <c r="Z22" s="13">
        <v>0.48133500000000001</v>
      </c>
      <c r="AA22" s="22">
        <v>1.783779</v>
      </c>
      <c r="AB22" s="3">
        <v>0.33502799999999999</v>
      </c>
      <c r="AC22" s="22">
        <v>1.200393</v>
      </c>
      <c r="AD22" s="3">
        <v>0.273171</v>
      </c>
    </row>
    <row r="23" spans="1:30">
      <c r="A23" s="7" t="s">
        <v>10</v>
      </c>
      <c r="B23" s="7">
        <v>1</v>
      </c>
      <c r="C23" s="8">
        <v>0.15581500000000001</v>
      </c>
      <c r="D23" s="8">
        <v>1.7604600000000001E-2</v>
      </c>
      <c r="E23" s="8">
        <v>0.12433329999999999</v>
      </c>
      <c r="F23" s="8">
        <v>0.1935065</v>
      </c>
      <c r="H23" s="2" t="s">
        <v>10</v>
      </c>
      <c r="I23" s="2">
        <v>1</v>
      </c>
      <c r="J23" s="12">
        <v>9.53957E-2</v>
      </c>
      <c r="K23" s="12">
        <v>1.6483299999999999E-2</v>
      </c>
      <c r="L23" s="12">
        <v>6.762E-2</v>
      </c>
      <c r="M23" s="12">
        <v>0.13295370000000001</v>
      </c>
      <c r="O23" s="5" t="s">
        <v>10</v>
      </c>
      <c r="P23" s="19">
        <v>1</v>
      </c>
      <c r="Q23" s="5">
        <v>7.0493500000000001E-2</v>
      </c>
      <c r="R23" s="5">
        <v>1.4973800000000001E-2</v>
      </c>
      <c r="S23" s="5">
        <v>4.6219499999999997E-2</v>
      </c>
      <c r="T23" s="5">
        <v>0.10609780000000001</v>
      </c>
      <c r="W23" s="7" t="s">
        <v>10</v>
      </c>
      <c r="X23" s="7" t="s">
        <v>74</v>
      </c>
      <c r="Y23" s="10">
        <v>4.6744500000000002</v>
      </c>
      <c r="Z23" s="13">
        <v>0.528138</v>
      </c>
      <c r="AA23" s="22">
        <v>2.8618709999999998</v>
      </c>
      <c r="AB23" s="3">
        <v>0.49449899999999997</v>
      </c>
      <c r="AC23" s="22">
        <v>2.114805</v>
      </c>
      <c r="AD23" s="3">
        <v>0.449214</v>
      </c>
    </row>
    <row r="24" spans="1:30">
      <c r="A24" s="6" t="s">
        <v>7</v>
      </c>
      <c r="B24" s="6" t="s">
        <v>8</v>
      </c>
      <c r="C24" s="9" t="s">
        <v>17</v>
      </c>
      <c r="D24" s="9" t="s">
        <v>10</v>
      </c>
      <c r="E24" s="9" t="s">
        <v>20</v>
      </c>
      <c r="F24" s="9" t="s">
        <v>21</v>
      </c>
      <c r="H24" s="1" t="s">
        <v>7</v>
      </c>
      <c r="I24" s="1" t="s">
        <v>8</v>
      </c>
      <c r="J24" s="9" t="s">
        <v>17</v>
      </c>
      <c r="K24" s="9" t="s">
        <v>10</v>
      </c>
      <c r="L24" s="9" t="s">
        <v>20</v>
      </c>
      <c r="M24" s="9" t="s">
        <v>21</v>
      </c>
      <c r="O24" s="17" t="s">
        <v>7</v>
      </c>
      <c r="P24" s="18" t="s">
        <v>8</v>
      </c>
    </row>
    <row r="25" spans="1:30">
      <c r="A25" s="7" t="s">
        <v>13</v>
      </c>
      <c r="B25" s="7">
        <v>0</v>
      </c>
      <c r="C25" s="10">
        <f>C16*30</f>
        <v>7.1307</v>
      </c>
      <c r="D25" s="10">
        <f t="shared" ref="D25:F25" si="0">D16*30</f>
        <v>0.77950200000000003</v>
      </c>
      <c r="E25" s="10">
        <f t="shared" si="0"/>
        <v>5.7164669999999997</v>
      </c>
      <c r="F25" s="10">
        <f t="shared" si="0"/>
        <v>8.7684750000000005</v>
      </c>
      <c r="H25" s="2" t="s">
        <v>13</v>
      </c>
      <c r="I25" s="2">
        <v>0</v>
      </c>
      <c r="J25" s="13">
        <f>J16*30</f>
        <v>5.5216289999999999</v>
      </c>
      <c r="K25" s="13">
        <f t="shared" ref="K25:M25" si="1">K16*30</f>
        <v>0.813222</v>
      </c>
      <c r="L25" s="13">
        <f t="shared" si="1"/>
        <v>4.1012820000000003</v>
      </c>
      <c r="M25" s="13">
        <f t="shared" si="1"/>
        <v>7.2953070000000002</v>
      </c>
      <c r="O25" s="5" t="s">
        <v>13</v>
      </c>
      <c r="P25" s="19">
        <v>0</v>
      </c>
      <c r="Q25" s="3">
        <f>Q16*30</f>
        <v>4.4108130000000001</v>
      </c>
      <c r="R25" s="3">
        <f t="shared" ref="R25:T25" si="2">R16*30</f>
        <v>0.76929900000000007</v>
      </c>
      <c r="S25" s="3">
        <f t="shared" si="2"/>
        <v>3.1051410000000002</v>
      </c>
      <c r="T25" s="3">
        <f t="shared" si="2"/>
        <v>6.1401599999999998</v>
      </c>
    </row>
    <row r="26" spans="1:30">
      <c r="A26" s="7" t="s">
        <v>15</v>
      </c>
      <c r="B26" s="7">
        <v>0</v>
      </c>
      <c r="C26" s="10">
        <f t="shared" ref="C26:F30" si="3">C17*30</f>
        <v>6.951651</v>
      </c>
      <c r="D26" s="10">
        <f t="shared" si="3"/>
        <v>0.770922</v>
      </c>
      <c r="E26" s="10">
        <f t="shared" si="3"/>
        <v>5.555904</v>
      </c>
      <c r="F26" s="10">
        <f t="shared" si="3"/>
        <v>8.5750289999999989</v>
      </c>
      <c r="H26" s="2" t="s">
        <v>15</v>
      </c>
      <c r="I26" s="2">
        <v>0</v>
      </c>
      <c r="J26" s="13">
        <f t="shared" ref="J26:M26" si="4">J17*30</f>
        <v>5.6766329999999998</v>
      </c>
      <c r="K26" s="13">
        <f t="shared" si="4"/>
        <v>0.82404600000000006</v>
      </c>
      <c r="L26" s="13">
        <f t="shared" si="4"/>
        <v>4.2336720000000003</v>
      </c>
      <c r="M26" s="13">
        <f t="shared" si="4"/>
        <v>7.4688359999999996</v>
      </c>
      <c r="O26" s="5" t="s">
        <v>15</v>
      </c>
      <c r="P26" s="19">
        <v>0</v>
      </c>
      <c r="Q26" s="3">
        <f t="shared" ref="Q26:T32" si="5">Q17*30</f>
        <v>4.3862370000000004</v>
      </c>
      <c r="R26" s="3">
        <f t="shared" si="5"/>
        <v>0.7561500000000001</v>
      </c>
      <c r="S26" s="3">
        <f t="shared" si="5"/>
        <v>3.1009019999999996</v>
      </c>
      <c r="T26" s="3">
        <f t="shared" si="5"/>
        <v>6.08385</v>
      </c>
    </row>
    <row r="27" spans="1:30">
      <c r="A27" s="7" t="s">
        <v>16</v>
      </c>
      <c r="B27" s="7">
        <v>0</v>
      </c>
      <c r="C27" s="10">
        <f t="shared" si="3"/>
        <v>7.6858409999999999</v>
      </c>
      <c r="D27" s="10">
        <f t="shared" si="3"/>
        <v>0.78453899999999999</v>
      </c>
      <c r="E27" s="10">
        <f t="shared" si="3"/>
        <v>6.2509110000000003</v>
      </c>
      <c r="F27" s="10">
        <f t="shared" si="3"/>
        <v>9.3208859999999998</v>
      </c>
      <c r="H27" s="2" t="s">
        <v>16</v>
      </c>
      <c r="I27" s="2">
        <v>0</v>
      </c>
      <c r="J27" s="13">
        <f t="shared" ref="J27:M27" si="6">J18*30</f>
        <v>6.3441450000000001</v>
      </c>
      <c r="K27" s="13">
        <f t="shared" si="6"/>
        <v>0.92823</v>
      </c>
      <c r="L27" s="13">
        <f t="shared" si="6"/>
        <v>4.7138429999999998</v>
      </c>
      <c r="M27" s="13">
        <f t="shared" si="6"/>
        <v>8.3520479999999999</v>
      </c>
      <c r="O27" s="5" t="s">
        <v>16</v>
      </c>
      <c r="P27" s="19">
        <v>0</v>
      </c>
      <c r="Q27" s="3">
        <f t="shared" si="5"/>
        <v>5.0771609999999994</v>
      </c>
      <c r="R27" s="3">
        <f t="shared" si="5"/>
        <v>0.88199400000000006</v>
      </c>
      <c r="S27" s="3">
        <f t="shared" si="5"/>
        <v>3.5733329999999999</v>
      </c>
      <c r="T27" s="3">
        <f t="shared" si="5"/>
        <v>7.0451490000000003</v>
      </c>
    </row>
    <row r="28" spans="1:30">
      <c r="A28" s="7" t="s">
        <v>10</v>
      </c>
      <c r="B28" s="7">
        <v>0</v>
      </c>
      <c r="C28" s="10">
        <f t="shared" si="3"/>
        <v>6.9625859999999999</v>
      </c>
      <c r="D28" s="10">
        <f t="shared" si="3"/>
        <v>0.65685899999999997</v>
      </c>
      <c r="E28" s="10">
        <f t="shared" si="3"/>
        <v>5.7586440000000003</v>
      </c>
      <c r="F28" s="10">
        <f t="shared" si="3"/>
        <v>8.3317200000000007</v>
      </c>
      <c r="H28" s="2" t="s">
        <v>10</v>
      </c>
      <c r="I28" s="2">
        <v>0</v>
      </c>
      <c r="J28" s="13">
        <f t="shared" ref="J28:M28" si="7">J19*30</f>
        <v>6.0259350000000005</v>
      </c>
      <c r="K28" s="13">
        <f t="shared" si="7"/>
        <v>0.858294</v>
      </c>
      <c r="L28" s="13">
        <f t="shared" si="7"/>
        <v>4.5167339999999996</v>
      </c>
      <c r="M28" s="13">
        <f t="shared" si="7"/>
        <v>7.8834149999999994</v>
      </c>
      <c r="O28" s="5" t="s">
        <v>10</v>
      </c>
      <c r="P28" s="19">
        <v>0</v>
      </c>
      <c r="Q28" s="3">
        <f t="shared" si="5"/>
        <v>4.6815869999999995</v>
      </c>
      <c r="R28" s="3">
        <f t="shared" si="5"/>
        <v>0.79205999999999999</v>
      </c>
      <c r="S28" s="3">
        <f t="shared" si="5"/>
        <v>3.3292859999999997</v>
      </c>
      <c r="T28" s="3">
        <f t="shared" si="5"/>
        <v>6.4503300000000001</v>
      </c>
    </row>
    <row r="29" spans="1:30">
      <c r="A29" s="7" t="s">
        <v>13</v>
      </c>
      <c r="B29" s="7">
        <v>1</v>
      </c>
      <c r="C29" s="10">
        <f t="shared" si="3"/>
        <v>4.2910560000000002</v>
      </c>
      <c r="D29" s="10">
        <f t="shared" si="3"/>
        <v>0.50752800000000009</v>
      </c>
      <c r="E29" s="10">
        <f t="shared" si="3"/>
        <v>3.3889290000000001</v>
      </c>
      <c r="F29" s="10">
        <f t="shared" si="3"/>
        <v>5.3847389999999997</v>
      </c>
      <c r="H29" s="2" t="s">
        <v>13</v>
      </c>
      <c r="I29" s="2">
        <v>1</v>
      </c>
      <c r="J29" s="13">
        <f t="shared" ref="J29:M29" si="8">J20*30</f>
        <v>2.298597</v>
      </c>
      <c r="K29" s="13">
        <f t="shared" si="8"/>
        <v>0.415659</v>
      </c>
      <c r="L29" s="13">
        <f t="shared" si="8"/>
        <v>1.605111</v>
      </c>
      <c r="M29" s="13">
        <f t="shared" si="8"/>
        <v>3.2573309999999998</v>
      </c>
      <c r="O29" s="5" t="s">
        <v>13</v>
      </c>
      <c r="P29" s="19">
        <v>1</v>
      </c>
      <c r="Q29" s="3">
        <f t="shared" si="5"/>
        <v>1.6730310000000002</v>
      </c>
      <c r="R29" s="3">
        <f t="shared" si="5"/>
        <v>0.36837900000000001</v>
      </c>
      <c r="S29" s="3">
        <f t="shared" si="5"/>
        <v>1.081407</v>
      </c>
      <c r="T29" s="3">
        <f t="shared" si="5"/>
        <v>2.5596809999999999</v>
      </c>
    </row>
    <row r="30" spans="1:30">
      <c r="A30" s="7" t="s">
        <v>15</v>
      </c>
      <c r="B30" s="7">
        <v>1</v>
      </c>
      <c r="C30" s="10">
        <f t="shared" si="3"/>
        <v>4.3910730000000004</v>
      </c>
      <c r="D30" s="10">
        <f t="shared" si="3"/>
        <v>0.52856700000000001</v>
      </c>
      <c r="E30" s="10">
        <f t="shared" si="3"/>
        <v>3.452772</v>
      </c>
      <c r="F30" s="10">
        <f t="shared" si="3"/>
        <v>5.5312320000000001</v>
      </c>
      <c r="H30" s="2" t="s">
        <v>15</v>
      </c>
      <c r="I30" s="2">
        <v>1</v>
      </c>
      <c r="J30" s="13">
        <f t="shared" ref="J30:M30" si="9">J21*30</f>
        <v>2.5141529999999999</v>
      </c>
      <c r="K30" s="13">
        <f t="shared" si="9"/>
        <v>0.444936</v>
      </c>
      <c r="L30" s="13">
        <f t="shared" si="9"/>
        <v>1.768473</v>
      </c>
      <c r="M30" s="13">
        <f t="shared" si="9"/>
        <v>3.5348820000000001</v>
      </c>
      <c r="O30" s="5" t="s">
        <v>15</v>
      </c>
      <c r="P30" s="19">
        <v>1</v>
      </c>
      <c r="Q30" s="3">
        <f t="shared" si="5"/>
        <v>1.8542489999999998</v>
      </c>
      <c r="R30" s="3">
        <f t="shared" si="5"/>
        <v>0.40122000000000002</v>
      </c>
      <c r="S30" s="3">
        <f t="shared" si="5"/>
        <v>1.2070530000000002</v>
      </c>
      <c r="T30" s="3">
        <f t="shared" si="5"/>
        <v>2.8145370000000001</v>
      </c>
    </row>
    <row r="31" spans="1:30">
      <c r="A31" s="7" t="s">
        <v>16</v>
      </c>
      <c r="B31" s="7">
        <v>1</v>
      </c>
      <c r="C31" s="10">
        <f>C22*30</f>
        <v>3.6831510000000001</v>
      </c>
      <c r="D31" s="10">
        <f t="shared" ref="D31:F31" si="10">D22*30</f>
        <v>0.48133500000000001</v>
      </c>
      <c r="E31" s="10">
        <f t="shared" si="10"/>
        <v>2.8387500000000001</v>
      </c>
      <c r="F31" s="10">
        <f t="shared" si="10"/>
        <v>4.7349360000000003</v>
      </c>
      <c r="H31" s="2" t="s">
        <v>16</v>
      </c>
      <c r="I31" s="2">
        <v>1</v>
      </c>
      <c r="J31" s="13">
        <f t="shared" ref="J31:M31" si="11">J22*30</f>
        <v>1.783779</v>
      </c>
      <c r="K31" s="13">
        <f t="shared" si="11"/>
        <v>0.33502799999999999</v>
      </c>
      <c r="L31" s="13">
        <f t="shared" si="11"/>
        <v>1.229724</v>
      </c>
      <c r="M31" s="13">
        <f t="shared" si="11"/>
        <v>2.56521</v>
      </c>
      <c r="O31" s="5" t="s">
        <v>16</v>
      </c>
      <c r="P31" s="19">
        <v>1</v>
      </c>
      <c r="Q31" s="3">
        <f t="shared" si="5"/>
        <v>1.200393</v>
      </c>
      <c r="R31" s="3">
        <f t="shared" si="5"/>
        <v>0.273171</v>
      </c>
      <c r="S31" s="3">
        <f t="shared" si="5"/>
        <v>0.76568700000000001</v>
      </c>
      <c r="T31" s="3">
        <f t="shared" si="5"/>
        <v>1.866147</v>
      </c>
    </row>
    <row r="32" spans="1:30">
      <c r="A32" s="7" t="s">
        <v>10</v>
      </c>
      <c r="B32" s="7">
        <v>1</v>
      </c>
      <c r="C32" s="10">
        <f>C23*30</f>
        <v>4.6744500000000002</v>
      </c>
      <c r="D32" s="10">
        <f t="shared" ref="D32:F32" si="12">D23*30</f>
        <v>0.528138</v>
      </c>
      <c r="E32" s="10">
        <f t="shared" si="12"/>
        <v>3.7299989999999998</v>
      </c>
      <c r="F32" s="10">
        <f t="shared" si="12"/>
        <v>5.8051950000000003</v>
      </c>
      <c r="H32" s="2" t="s">
        <v>10</v>
      </c>
      <c r="I32" s="2">
        <v>1</v>
      </c>
      <c r="J32" s="13">
        <f t="shared" ref="J32:M32" si="13">J23*30</f>
        <v>2.8618709999999998</v>
      </c>
      <c r="K32" s="13">
        <f t="shared" si="13"/>
        <v>0.49449899999999997</v>
      </c>
      <c r="L32" s="13">
        <f t="shared" si="13"/>
        <v>2.0286</v>
      </c>
      <c r="M32" s="13">
        <f t="shared" si="13"/>
        <v>3.9886110000000001</v>
      </c>
      <c r="O32" s="5" t="s">
        <v>10</v>
      </c>
      <c r="P32" s="19">
        <v>1</v>
      </c>
      <c r="Q32" s="3">
        <f t="shared" si="5"/>
        <v>2.114805</v>
      </c>
      <c r="R32" s="3">
        <f t="shared" si="5"/>
        <v>0.449214</v>
      </c>
      <c r="S32" s="3">
        <f t="shared" si="5"/>
        <v>1.386585</v>
      </c>
      <c r="T32" s="3">
        <f t="shared" si="5"/>
        <v>3.1829340000000004</v>
      </c>
    </row>
    <row r="33" spans="1:20">
      <c r="A33" s="7" t="s">
        <v>18</v>
      </c>
      <c r="B33" s="7"/>
      <c r="C33" s="10"/>
      <c r="D33" s="10"/>
      <c r="E33" s="10"/>
      <c r="F33" s="10"/>
      <c r="H33" s="2"/>
      <c r="I33" s="2"/>
      <c r="J33" s="13"/>
      <c r="K33" s="13"/>
      <c r="L33" s="13"/>
      <c r="M33" s="13"/>
      <c r="O33" s="5"/>
      <c r="P33" s="19"/>
      <c r="Q33" s="3"/>
      <c r="R33" s="3"/>
      <c r="S33" s="3"/>
      <c r="T33" s="3"/>
    </row>
    <row r="34" spans="1:20">
      <c r="A34" s="7" t="s">
        <v>32</v>
      </c>
      <c r="H34" s="7" t="s">
        <v>32</v>
      </c>
    </row>
    <row r="35" spans="1:20">
      <c r="A35" s="1" t="s">
        <v>22</v>
      </c>
      <c r="B35" s="1" t="s">
        <v>23</v>
      </c>
      <c r="C35" s="1" t="s">
        <v>10</v>
      </c>
      <c r="D35" s="1" t="s">
        <v>24</v>
      </c>
      <c r="E35" s="1" t="s">
        <v>25</v>
      </c>
      <c r="H35" s="1" t="s">
        <v>22</v>
      </c>
      <c r="I35" s="1" t="s">
        <v>23</v>
      </c>
      <c r="J35" s="1" t="s">
        <v>10</v>
      </c>
      <c r="K35" s="1" t="s">
        <v>24</v>
      </c>
      <c r="L35" s="1" t="s">
        <v>25</v>
      </c>
      <c r="O35" s="1" t="s">
        <v>22</v>
      </c>
      <c r="P35" s="1" t="s">
        <v>23</v>
      </c>
      <c r="Q35" s="1" t="s">
        <v>10</v>
      </c>
      <c r="R35" s="1" t="s">
        <v>24</v>
      </c>
      <c r="S35" s="1" t="s">
        <v>25</v>
      </c>
    </row>
    <row r="36" spans="1:20">
      <c r="A36" s="2" t="s">
        <v>26</v>
      </c>
      <c r="B36" s="5">
        <v>-6.0167499999999999E-2</v>
      </c>
      <c r="C36" s="5">
        <v>0.21217030000000001</v>
      </c>
      <c r="D36" s="5">
        <v>-0.28358100000000003</v>
      </c>
      <c r="E36" s="5">
        <v>0.99205160000000003</v>
      </c>
      <c r="H36" s="2" t="s">
        <v>26</v>
      </c>
      <c r="I36" s="14">
        <v>-6.3411899999999993E-2</v>
      </c>
      <c r="J36" s="14">
        <v>0.24111050000000001</v>
      </c>
      <c r="K36" s="14">
        <v>-0.26299939999999999</v>
      </c>
      <c r="L36" s="14">
        <v>0.99363299999999999</v>
      </c>
      <c r="O36" s="5" t="s">
        <v>26</v>
      </c>
      <c r="P36" s="5">
        <v>-0.1158068</v>
      </c>
      <c r="Q36" s="5">
        <v>0.29305880000000001</v>
      </c>
      <c r="R36" s="5">
        <v>-0.39516590000000001</v>
      </c>
      <c r="S36" s="5">
        <v>0.97908910000000005</v>
      </c>
    </row>
    <row r="37" spans="1:20">
      <c r="A37" s="2" t="s">
        <v>27</v>
      </c>
      <c r="B37" s="5">
        <v>0.27567940000000002</v>
      </c>
      <c r="C37" s="5">
        <v>0.19740540000000001</v>
      </c>
      <c r="D37" s="5">
        <v>1.3965136</v>
      </c>
      <c r="E37" s="5">
        <v>0.50149279999999996</v>
      </c>
      <c r="H37" s="2" t="s">
        <v>27</v>
      </c>
      <c r="I37" s="14">
        <v>0.44501619999999997</v>
      </c>
      <c r="J37" s="14">
        <v>0.25018089999999998</v>
      </c>
      <c r="K37" s="14">
        <v>1.778778</v>
      </c>
      <c r="L37" s="14">
        <v>0.28354439999999997</v>
      </c>
      <c r="O37" s="5" t="s">
        <v>27</v>
      </c>
      <c r="P37" s="5">
        <v>0.51561440000000003</v>
      </c>
      <c r="Q37" s="5">
        <v>0.30320399999999997</v>
      </c>
      <c r="R37" s="5">
        <v>1.7005528999999999</v>
      </c>
      <c r="S37" s="5">
        <v>0.32332109999999997</v>
      </c>
    </row>
    <row r="38" spans="1:20">
      <c r="A38" s="2" t="s">
        <v>28</v>
      </c>
      <c r="B38" s="5">
        <v>-0.1317864</v>
      </c>
      <c r="C38" s="5">
        <v>0.18508959999999999</v>
      </c>
      <c r="D38" s="5">
        <v>-0.71201389999999998</v>
      </c>
      <c r="E38" s="5">
        <v>0.89238010000000001</v>
      </c>
      <c r="H38" s="2" t="s">
        <v>28</v>
      </c>
      <c r="I38" s="14">
        <v>-0.13150310000000001</v>
      </c>
      <c r="J38" s="14">
        <v>0.2402659</v>
      </c>
      <c r="K38" s="14">
        <v>-0.54732329999999996</v>
      </c>
      <c r="L38" s="14">
        <v>0.94729660000000004</v>
      </c>
      <c r="O38" s="5" t="s">
        <v>28</v>
      </c>
      <c r="P38" s="5">
        <v>-0.17982699999999999</v>
      </c>
      <c r="Q38" s="5">
        <v>0.29252739999999999</v>
      </c>
      <c r="R38" s="5">
        <v>-0.61473549999999999</v>
      </c>
      <c r="S38" s="5">
        <v>0.92742919999999995</v>
      </c>
    </row>
    <row r="39" spans="1:20">
      <c r="A39" s="2" t="s">
        <v>29</v>
      </c>
      <c r="B39" s="5">
        <v>0.3358468</v>
      </c>
      <c r="C39" s="5">
        <v>0.22212109999999999</v>
      </c>
      <c r="D39" s="5">
        <v>1.5119988</v>
      </c>
      <c r="E39" s="5">
        <v>0.43020890000000001</v>
      </c>
      <c r="H39" s="2" t="s">
        <v>29</v>
      </c>
      <c r="I39" s="14">
        <v>0.50842810000000005</v>
      </c>
      <c r="J39" s="14">
        <v>0.25010130000000003</v>
      </c>
      <c r="K39" s="14">
        <v>2.0328890999999998</v>
      </c>
      <c r="L39" s="14">
        <v>0.17587829999999999</v>
      </c>
      <c r="O39" s="5" t="s">
        <v>29</v>
      </c>
      <c r="P39" s="5">
        <v>0.63142120000000002</v>
      </c>
      <c r="Q39" s="5">
        <v>0.30253910000000001</v>
      </c>
      <c r="R39" s="5">
        <v>2.0870734</v>
      </c>
      <c r="S39" s="5">
        <v>0.15726780000000001</v>
      </c>
    </row>
    <row r="40" spans="1:20">
      <c r="A40" s="2" t="s">
        <v>30</v>
      </c>
      <c r="B40" s="5">
        <v>-7.1618899999999999E-2</v>
      </c>
      <c r="C40" s="5">
        <v>0.21119170000000001</v>
      </c>
      <c r="D40" s="5">
        <v>-0.33911809999999998</v>
      </c>
      <c r="E40" s="5">
        <v>0.98658109999999999</v>
      </c>
      <c r="H40" s="2" t="s">
        <v>30</v>
      </c>
      <c r="I40" s="14">
        <v>-6.8091200000000004E-2</v>
      </c>
      <c r="J40" s="14">
        <v>0.2396247</v>
      </c>
      <c r="K40" s="14">
        <v>-0.28415760000000001</v>
      </c>
      <c r="L40" s="14">
        <v>0.99200390000000005</v>
      </c>
      <c r="O40" s="5" t="s">
        <v>30</v>
      </c>
      <c r="P40" s="5">
        <v>-6.4020099999999996E-2</v>
      </c>
      <c r="Q40" s="5">
        <v>0.2916533</v>
      </c>
      <c r="R40" s="5">
        <v>-0.2195077</v>
      </c>
      <c r="S40" s="5">
        <v>0.99626899999999996</v>
      </c>
    </row>
    <row r="41" spans="1:20">
      <c r="A41" s="2" t="s">
        <v>31</v>
      </c>
      <c r="B41" s="5">
        <v>-0.40746579999999999</v>
      </c>
      <c r="C41" s="5">
        <v>0.19631660000000001</v>
      </c>
      <c r="D41" s="5">
        <v>-2.0755547000000001</v>
      </c>
      <c r="E41" s="5">
        <v>0.16109879999999999</v>
      </c>
      <c r="H41" s="2" t="s">
        <v>31</v>
      </c>
      <c r="I41" s="14">
        <v>-0.57651929999999996</v>
      </c>
      <c r="J41" s="14">
        <v>0.2492209</v>
      </c>
      <c r="K41" s="14">
        <v>-2.3132866999999999</v>
      </c>
      <c r="L41" s="15">
        <v>9.4975900000000002E-2</v>
      </c>
      <c r="O41" s="5" t="s">
        <v>31</v>
      </c>
      <c r="P41" s="5">
        <v>-0.69544139999999999</v>
      </c>
      <c r="Q41" s="5">
        <v>0.30203530000000001</v>
      </c>
      <c r="R41" s="5">
        <v>-2.3025171000000002</v>
      </c>
      <c r="S41" s="16">
        <v>9.74159E-2</v>
      </c>
    </row>
    <row r="42" spans="1:20">
      <c r="A42" s="2" t="s">
        <v>18</v>
      </c>
      <c r="H42" s="2" t="s">
        <v>19</v>
      </c>
      <c r="O42" t="s">
        <v>33</v>
      </c>
    </row>
    <row r="43" spans="1:20">
      <c r="A43" s="1" t="s">
        <v>7</v>
      </c>
      <c r="B43" s="1" t="s">
        <v>34</v>
      </c>
      <c r="C43" s="1" t="s">
        <v>10</v>
      </c>
      <c r="D43" s="1" t="s">
        <v>11</v>
      </c>
      <c r="E43" s="1" t="s">
        <v>12</v>
      </c>
      <c r="H43" s="1" t="s">
        <v>7</v>
      </c>
      <c r="I43" s="1" t="s">
        <v>34</v>
      </c>
      <c r="J43" s="1" t="s">
        <v>10</v>
      </c>
      <c r="K43" s="1" t="s">
        <v>11</v>
      </c>
      <c r="L43" s="1" t="s">
        <v>12</v>
      </c>
      <c r="O43" s="1" t="s">
        <v>7</v>
      </c>
      <c r="P43" s="1" t="s">
        <v>34</v>
      </c>
      <c r="Q43" s="1" t="s">
        <v>10</v>
      </c>
      <c r="R43" s="1" t="s">
        <v>11</v>
      </c>
      <c r="S43" s="1" t="s">
        <v>12</v>
      </c>
    </row>
    <row r="44" spans="1:20">
      <c r="A44" s="2" t="s">
        <v>13</v>
      </c>
      <c r="B44" s="5">
        <v>-0.62491980000000003</v>
      </c>
      <c r="C44" s="5">
        <v>0.13158410000000001</v>
      </c>
      <c r="D44" s="5">
        <v>-0.88281989999999999</v>
      </c>
      <c r="E44" s="5">
        <v>-0.3670197</v>
      </c>
      <c r="H44" s="2" t="s">
        <v>13</v>
      </c>
      <c r="I44" s="5">
        <v>-1.0000678000000001</v>
      </c>
      <c r="J44" s="5">
        <v>0.17263590000000001</v>
      </c>
      <c r="K44" s="5">
        <v>-1.338428</v>
      </c>
      <c r="L44" s="5">
        <v>-0.66170770000000001</v>
      </c>
      <c r="O44" s="2" t="s">
        <v>13</v>
      </c>
      <c r="P44" s="2">
        <v>-1.0710659</v>
      </c>
      <c r="Q44" s="2">
        <v>0.20841190000000001</v>
      </c>
      <c r="R44" s="2">
        <v>-1.479546</v>
      </c>
      <c r="S44" s="2">
        <v>-0.66258600000000001</v>
      </c>
    </row>
    <row r="45" spans="1:20">
      <c r="A45" s="2" t="s">
        <v>15</v>
      </c>
      <c r="B45" s="5">
        <v>-0.56475240000000004</v>
      </c>
      <c r="C45" s="5">
        <v>0.16634750000000001</v>
      </c>
      <c r="D45" s="5">
        <v>-0.89078749999999995</v>
      </c>
      <c r="E45" s="5">
        <v>-0.23871729999999999</v>
      </c>
      <c r="H45" s="2" t="s">
        <v>15</v>
      </c>
      <c r="I45" s="5">
        <v>-0.93665589999999999</v>
      </c>
      <c r="J45" s="5">
        <v>0.17263870000000001</v>
      </c>
      <c r="K45" s="5">
        <v>-1.2750220000000001</v>
      </c>
      <c r="L45" s="5">
        <v>-0.59829030000000005</v>
      </c>
      <c r="O45" s="2" t="s">
        <v>15</v>
      </c>
      <c r="P45" s="2">
        <v>-0.95525910000000003</v>
      </c>
      <c r="Q45" s="2">
        <v>0.20707739999999999</v>
      </c>
      <c r="R45" s="2">
        <v>-1.3611230000000001</v>
      </c>
      <c r="S45" s="2">
        <v>-0.54939490000000002</v>
      </c>
    </row>
    <row r="46" spans="1:20">
      <c r="A46" s="2" t="s">
        <v>16</v>
      </c>
      <c r="B46" s="5">
        <v>-0.90059920000000004</v>
      </c>
      <c r="C46" s="5">
        <v>0.14693609999999999</v>
      </c>
      <c r="D46" s="5">
        <v>-1.1885886000000001</v>
      </c>
      <c r="E46" s="5">
        <v>-0.61260970000000003</v>
      </c>
      <c r="H46" s="2" t="s">
        <v>16</v>
      </c>
      <c r="I46" s="5">
        <v>-1.445084</v>
      </c>
      <c r="J46" s="5">
        <v>0.18633459999999999</v>
      </c>
      <c r="K46" s="5">
        <v>-1.8102929999999999</v>
      </c>
      <c r="L46" s="5">
        <v>-1.0798749999999999</v>
      </c>
      <c r="O46" s="2" t="s">
        <v>16</v>
      </c>
      <c r="P46" s="2">
        <v>-1.5866804000000001</v>
      </c>
      <c r="Q46" s="2">
        <v>0.22203510000000001</v>
      </c>
      <c r="R46" s="2">
        <v>-2.0218609999999999</v>
      </c>
      <c r="S46" s="2">
        <v>-1.1514996</v>
      </c>
    </row>
    <row r="47" spans="1:20">
      <c r="A47" s="2" t="s">
        <v>10</v>
      </c>
      <c r="B47" s="5">
        <v>-0.4931334</v>
      </c>
      <c r="C47" s="5">
        <v>0.13005739999999999</v>
      </c>
      <c r="D47" s="5">
        <v>-0.74804130000000002</v>
      </c>
      <c r="E47" s="5">
        <v>-0.23822560000000001</v>
      </c>
      <c r="H47" s="2" t="s">
        <v>10</v>
      </c>
      <c r="I47" s="5">
        <v>-0.86856469999999997</v>
      </c>
      <c r="J47" s="5">
        <v>0.1719483</v>
      </c>
      <c r="K47" s="5">
        <v>-1.2055769999999999</v>
      </c>
      <c r="L47" s="5">
        <v>-0.53155209999999997</v>
      </c>
      <c r="O47" s="2" t="s">
        <v>10</v>
      </c>
      <c r="P47" s="2">
        <v>-0.891239</v>
      </c>
      <c r="Q47" s="2">
        <v>0.20633170000000001</v>
      </c>
      <c r="R47" s="2">
        <v>-1.295642</v>
      </c>
      <c r="S47" s="2">
        <v>-0.4868364</v>
      </c>
    </row>
    <row r="49" spans="1:20">
      <c r="A49" s="1" t="s">
        <v>22</v>
      </c>
      <c r="B49" s="1" t="s">
        <v>7</v>
      </c>
      <c r="C49" s="1" t="s">
        <v>35</v>
      </c>
      <c r="D49" s="1" t="s">
        <v>10</v>
      </c>
      <c r="E49" s="1" t="s">
        <v>24</v>
      </c>
      <c r="F49" s="1" t="s">
        <v>25</v>
      </c>
      <c r="H49" s="1" t="s">
        <v>22</v>
      </c>
      <c r="I49" s="1" t="s">
        <v>7</v>
      </c>
      <c r="J49" s="1" t="s">
        <v>35</v>
      </c>
      <c r="K49" s="1" t="s">
        <v>10</v>
      </c>
      <c r="L49" s="1" t="s">
        <v>24</v>
      </c>
      <c r="M49" s="1" t="s">
        <v>25</v>
      </c>
      <c r="O49" s="1" t="s">
        <v>22</v>
      </c>
      <c r="P49" s="1" t="s">
        <v>7</v>
      </c>
      <c r="Q49" s="1" t="s">
        <v>35</v>
      </c>
      <c r="R49" s="1" t="s">
        <v>10</v>
      </c>
      <c r="S49" s="1" t="s">
        <v>24</v>
      </c>
      <c r="T49" s="1" t="s">
        <v>25</v>
      </c>
    </row>
    <row r="50" spans="1:20">
      <c r="A50" s="2" t="s">
        <v>36</v>
      </c>
      <c r="B50" s="2" t="s">
        <v>13</v>
      </c>
      <c r="C50" s="5">
        <v>1.868096</v>
      </c>
      <c r="D50" s="5">
        <v>0.2458118</v>
      </c>
      <c r="E50" s="5">
        <v>4.7492049999999999</v>
      </c>
      <c r="F50" s="5">
        <v>1.9999999999999999E-6</v>
      </c>
      <c r="H50" s="2" t="s">
        <v>36</v>
      </c>
      <c r="I50" s="2" t="s">
        <v>13</v>
      </c>
      <c r="J50" s="5">
        <v>2.7184659999999998</v>
      </c>
      <c r="K50" s="5">
        <v>0.46930480000000002</v>
      </c>
      <c r="L50" s="5">
        <v>5.7929310000000003</v>
      </c>
      <c r="M50" s="5">
        <v>0</v>
      </c>
      <c r="O50" s="2" t="s">
        <v>36</v>
      </c>
      <c r="P50" s="2" t="s">
        <v>13</v>
      </c>
      <c r="Q50" s="4">
        <v>2.9184890000000001</v>
      </c>
      <c r="R50" s="4">
        <v>0.60824789999999995</v>
      </c>
      <c r="S50" s="4">
        <v>5.1391770000000001</v>
      </c>
      <c r="T50" s="4">
        <v>2.9999999999999999E-7</v>
      </c>
    </row>
    <row r="51" spans="1:20">
      <c r="A51" s="2" t="s">
        <v>36</v>
      </c>
      <c r="B51" s="2" t="s">
        <v>15</v>
      </c>
      <c r="C51" s="5">
        <v>1.759012</v>
      </c>
      <c r="D51" s="5">
        <v>0.29260730000000001</v>
      </c>
      <c r="E51" s="5">
        <v>3.395016</v>
      </c>
      <c r="F51" s="5">
        <v>6.8619999999999998E-4</v>
      </c>
      <c r="H51" s="2" t="s">
        <v>36</v>
      </c>
      <c r="I51" s="2" t="s">
        <v>15</v>
      </c>
      <c r="J51" s="5">
        <v>2.5514350000000001</v>
      </c>
      <c r="K51" s="5">
        <v>0.44047639999999999</v>
      </c>
      <c r="L51" s="5">
        <v>5.4255269999999998</v>
      </c>
      <c r="M51" s="5">
        <v>9.9999999999999995E-8</v>
      </c>
      <c r="O51" s="2" t="s">
        <v>36</v>
      </c>
      <c r="P51" s="2" t="s">
        <v>15</v>
      </c>
      <c r="Q51" s="4">
        <v>2.5993439999999999</v>
      </c>
      <c r="R51" s="4">
        <v>0.53826529999999995</v>
      </c>
      <c r="S51" s="4">
        <v>4.613054</v>
      </c>
      <c r="T51" s="4">
        <v>3.9999999999999998E-6</v>
      </c>
    </row>
    <row r="52" spans="1:20">
      <c r="A52" s="2" t="s">
        <v>36</v>
      </c>
      <c r="B52" s="2" t="s">
        <v>16</v>
      </c>
      <c r="C52" s="5">
        <v>2.461077</v>
      </c>
      <c r="D52" s="5">
        <v>0.36162109999999997</v>
      </c>
      <c r="E52" s="5">
        <v>6.1291900000000004</v>
      </c>
      <c r="F52" s="5">
        <v>0</v>
      </c>
      <c r="H52" s="2" t="s">
        <v>36</v>
      </c>
      <c r="I52" s="2" t="s">
        <v>16</v>
      </c>
      <c r="J52" s="5">
        <v>4.2422089999999999</v>
      </c>
      <c r="K52" s="5">
        <v>0.79047009999999995</v>
      </c>
      <c r="L52" s="5">
        <v>7.7553190000000001</v>
      </c>
      <c r="M52" s="5">
        <v>0</v>
      </c>
      <c r="O52" s="2" t="s">
        <v>36</v>
      </c>
      <c r="P52" s="2" t="s">
        <v>16</v>
      </c>
      <c r="Q52" s="4">
        <v>4.8874969999999998</v>
      </c>
      <c r="R52" s="4">
        <v>1.0851957999999999</v>
      </c>
      <c r="S52" s="4">
        <v>7.1460800000000004</v>
      </c>
      <c r="T52" s="4">
        <v>0</v>
      </c>
    </row>
    <row r="53" spans="1:20">
      <c r="A53" s="2" t="s">
        <v>36</v>
      </c>
      <c r="B53" s="2" t="s">
        <v>10</v>
      </c>
      <c r="C53" s="5">
        <v>1.6374390000000001</v>
      </c>
      <c r="D53" s="5">
        <v>0.21296109999999999</v>
      </c>
      <c r="E53" s="5">
        <v>3.7916590000000001</v>
      </c>
      <c r="F53" s="5">
        <v>1.496E-4</v>
      </c>
      <c r="H53" s="2" t="s">
        <v>36</v>
      </c>
      <c r="I53" s="2" t="s">
        <v>10</v>
      </c>
      <c r="J53" s="5">
        <v>2.3834870000000001</v>
      </c>
      <c r="K53" s="5">
        <v>0.4098367</v>
      </c>
      <c r="L53" s="5">
        <v>5.0513120000000002</v>
      </c>
      <c r="M53" s="5">
        <v>3.9999999999999998E-7</v>
      </c>
      <c r="O53" s="2" t="s">
        <v>36</v>
      </c>
      <c r="P53" s="2" t="s">
        <v>10</v>
      </c>
      <c r="Q53" s="4">
        <v>2.4381490000000001</v>
      </c>
      <c r="R53" s="4">
        <v>0.50306720000000005</v>
      </c>
      <c r="S53" s="4">
        <v>4.3194489999999996</v>
      </c>
      <c r="T53" s="4">
        <v>1.56E-5</v>
      </c>
    </row>
    <row r="55" spans="1:20">
      <c r="A55" s="2" t="s">
        <v>42</v>
      </c>
      <c r="B55" s="2" t="s">
        <v>37</v>
      </c>
      <c r="C55" t="s">
        <v>10</v>
      </c>
      <c r="D55" t="s">
        <v>40</v>
      </c>
      <c r="E55" t="s">
        <v>38</v>
      </c>
      <c r="F55" t="s">
        <v>10</v>
      </c>
      <c r="G55" t="s">
        <v>41</v>
      </c>
      <c r="H55" t="s">
        <v>39</v>
      </c>
      <c r="I55" t="s">
        <v>10</v>
      </c>
      <c r="J55" t="s">
        <v>41</v>
      </c>
    </row>
    <row r="56" spans="1:20">
      <c r="A56" s="2" t="s">
        <v>26</v>
      </c>
      <c r="B56" s="5">
        <v>-6.0167499999999999E-2</v>
      </c>
      <c r="C56" s="5">
        <v>0.21217030000000001</v>
      </c>
      <c r="D56" s="5">
        <v>0.99205160000000003</v>
      </c>
      <c r="E56" s="14">
        <v>-6.3411899999999993E-2</v>
      </c>
      <c r="F56" s="14">
        <v>0.24111050000000001</v>
      </c>
      <c r="G56" s="14">
        <v>0.99363299999999999</v>
      </c>
      <c r="H56" s="5">
        <v>-0.1158068</v>
      </c>
      <c r="I56" s="5">
        <v>0.29305880000000001</v>
      </c>
      <c r="J56" s="5">
        <v>0.97908910000000005</v>
      </c>
    </row>
    <row r="57" spans="1:20">
      <c r="A57" s="2" t="s">
        <v>27</v>
      </c>
      <c r="B57" s="5">
        <v>0.27567940000000002</v>
      </c>
      <c r="C57" s="5">
        <v>0.19740540000000001</v>
      </c>
      <c r="D57" s="5">
        <v>0.50149279999999996</v>
      </c>
      <c r="E57" s="14">
        <v>0.44501619999999997</v>
      </c>
      <c r="F57" s="14">
        <v>0.25018089999999998</v>
      </c>
      <c r="G57" s="14">
        <v>0.28354439999999997</v>
      </c>
      <c r="H57" s="5">
        <v>0.51561440000000003</v>
      </c>
      <c r="I57" s="5">
        <v>0.30320399999999997</v>
      </c>
      <c r="J57" s="5">
        <v>0.32332109999999997</v>
      </c>
    </row>
    <row r="58" spans="1:20">
      <c r="A58" s="2" t="s">
        <v>28</v>
      </c>
      <c r="B58" s="5">
        <v>-0.1317864</v>
      </c>
      <c r="C58" s="5">
        <v>0.18508959999999999</v>
      </c>
      <c r="D58" s="5">
        <v>0.89238010000000001</v>
      </c>
      <c r="E58" s="14">
        <v>-0.13150310000000001</v>
      </c>
      <c r="F58" s="14">
        <v>0.2402659</v>
      </c>
      <c r="G58" s="14">
        <v>0.94729660000000004</v>
      </c>
      <c r="H58" s="5">
        <v>-0.17982699999999999</v>
      </c>
      <c r="I58" s="5">
        <v>0.29252739999999999</v>
      </c>
      <c r="J58" s="5">
        <v>0.92742919999999995</v>
      </c>
    </row>
    <row r="59" spans="1:20">
      <c r="A59" s="2" t="s">
        <v>29</v>
      </c>
      <c r="B59" s="5">
        <v>0.3358468</v>
      </c>
      <c r="C59" s="5">
        <v>0.22212109999999999</v>
      </c>
      <c r="D59" s="5">
        <v>0.43020890000000001</v>
      </c>
      <c r="E59" s="14">
        <v>0.50842810000000005</v>
      </c>
      <c r="F59" s="14">
        <v>0.25010130000000003</v>
      </c>
      <c r="G59" s="14">
        <v>0.17587829999999999</v>
      </c>
      <c r="H59" s="5">
        <v>0.63142120000000002</v>
      </c>
      <c r="I59" s="5">
        <v>0.30253910000000001</v>
      </c>
      <c r="J59" s="5">
        <v>0.15726780000000001</v>
      </c>
    </row>
    <row r="60" spans="1:20">
      <c r="A60" s="2" t="s">
        <v>30</v>
      </c>
      <c r="B60" s="5">
        <v>-7.1618899999999999E-2</v>
      </c>
      <c r="C60" s="5">
        <v>0.21119170000000001</v>
      </c>
      <c r="D60" s="5">
        <v>0.98658109999999999</v>
      </c>
      <c r="E60" s="14">
        <v>-6.8091200000000004E-2</v>
      </c>
      <c r="F60" s="14">
        <v>0.2396247</v>
      </c>
      <c r="G60" s="14">
        <v>0.99200390000000005</v>
      </c>
      <c r="H60" s="5">
        <v>-6.4020099999999996E-2</v>
      </c>
      <c r="I60" s="5">
        <v>0.2916533</v>
      </c>
      <c r="J60" s="5">
        <v>0.99626899999999996</v>
      </c>
    </row>
    <row r="61" spans="1:20">
      <c r="A61" s="2" t="s">
        <v>31</v>
      </c>
      <c r="B61" s="5">
        <v>-0.40746579999999999</v>
      </c>
      <c r="C61" s="5">
        <v>0.19631660000000001</v>
      </c>
      <c r="D61" s="5">
        <v>0.16109879999999999</v>
      </c>
      <c r="E61" s="14">
        <v>-0.57651929999999996</v>
      </c>
      <c r="F61" s="14">
        <v>0.2492209</v>
      </c>
      <c r="G61" s="15">
        <v>9.4975900000000002E-2</v>
      </c>
      <c r="H61" s="5">
        <v>-0.69544139999999999</v>
      </c>
      <c r="I61" s="5">
        <v>0.30203530000000001</v>
      </c>
      <c r="J61" s="16">
        <v>9.74159E-2</v>
      </c>
    </row>
    <row r="63" spans="1:20">
      <c r="A63" s="1" t="s">
        <v>22</v>
      </c>
      <c r="B63" s="1" t="s">
        <v>7</v>
      </c>
      <c r="C63" t="s">
        <v>37</v>
      </c>
      <c r="D63" t="s">
        <v>10</v>
      </c>
      <c r="E63" t="s">
        <v>38</v>
      </c>
      <c r="F63" t="s">
        <v>10</v>
      </c>
      <c r="G63" t="s">
        <v>39</v>
      </c>
      <c r="H63" t="s">
        <v>10</v>
      </c>
    </row>
    <row r="64" spans="1:20">
      <c r="A64" s="2" t="s">
        <v>36</v>
      </c>
      <c r="B64" s="2" t="s">
        <v>13</v>
      </c>
      <c r="C64" s="5">
        <v>1.868096</v>
      </c>
      <c r="D64" s="5">
        <v>0.2458118</v>
      </c>
      <c r="E64" s="5">
        <v>2.7184659999999998</v>
      </c>
      <c r="F64" s="5">
        <v>0.46930480000000002</v>
      </c>
      <c r="G64" s="4">
        <v>2.9184890000000001</v>
      </c>
      <c r="H64" s="4">
        <v>0.60824789999999995</v>
      </c>
    </row>
    <row r="65" spans="1:9">
      <c r="A65" s="2" t="s">
        <v>36</v>
      </c>
      <c r="B65" s="2" t="s">
        <v>15</v>
      </c>
      <c r="C65" s="5">
        <v>1.759012</v>
      </c>
      <c r="D65" s="5">
        <v>0.29260730000000001</v>
      </c>
      <c r="E65" s="5">
        <v>2.5514350000000001</v>
      </c>
      <c r="F65" s="5">
        <v>0.44047639999999999</v>
      </c>
      <c r="G65" s="4">
        <v>2.5993439999999999</v>
      </c>
      <c r="H65" s="4">
        <v>0.53826529999999995</v>
      </c>
    </row>
    <row r="66" spans="1:9">
      <c r="A66" s="2" t="s">
        <v>36</v>
      </c>
      <c r="B66" s="2" t="s">
        <v>16</v>
      </c>
      <c r="C66" s="5">
        <v>2.461077</v>
      </c>
      <c r="D66" s="5">
        <v>0.36162109999999997</v>
      </c>
      <c r="E66" s="5">
        <v>4.2422089999999999</v>
      </c>
      <c r="F66" s="5">
        <v>0.79047009999999995</v>
      </c>
      <c r="G66" s="4">
        <v>4.8874969999999998</v>
      </c>
      <c r="H66" s="4">
        <v>1.0851957999999999</v>
      </c>
    </row>
    <row r="67" spans="1:9">
      <c r="A67" s="2" t="s">
        <v>36</v>
      </c>
      <c r="B67" s="2" t="s">
        <v>10</v>
      </c>
      <c r="C67" s="5">
        <v>1.6374390000000001</v>
      </c>
      <c r="D67" s="5">
        <v>0.21296109999999999</v>
      </c>
      <c r="E67" s="5">
        <v>2.3834870000000001</v>
      </c>
      <c r="F67" s="5">
        <v>0.4098367</v>
      </c>
      <c r="G67" s="4">
        <v>2.4381490000000001</v>
      </c>
      <c r="H67" s="4">
        <v>0.50306720000000005</v>
      </c>
    </row>
    <row r="69" spans="1:9">
      <c r="A69" s="1" t="s">
        <v>44</v>
      </c>
      <c r="B69" s="1" t="s">
        <v>43</v>
      </c>
      <c r="C69" s="1" t="s">
        <v>10</v>
      </c>
      <c r="D69" s="1" t="s">
        <v>20</v>
      </c>
      <c r="E69" s="1" t="s">
        <v>21</v>
      </c>
    </row>
    <row r="70" spans="1:9">
      <c r="A70" s="2" t="s">
        <v>46</v>
      </c>
      <c r="B70" s="11">
        <v>-7.2878999999999999E-3</v>
      </c>
      <c r="C70" s="11">
        <v>1.3034799999999999E-2</v>
      </c>
      <c r="D70" s="11">
        <v>-3.28356E-2</v>
      </c>
      <c r="E70" s="11">
        <v>1.82598E-2</v>
      </c>
    </row>
    <row r="71" spans="1:9">
      <c r="A71" s="2" t="s">
        <v>38</v>
      </c>
      <c r="B71" s="11">
        <v>-4.7298199999999999E-2</v>
      </c>
      <c r="C71" s="11">
        <v>1.7262E-2</v>
      </c>
      <c r="D71" s="11">
        <v>-8.1130999999999995E-2</v>
      </c>
      <c r="E71" s="11">
        <v>-1.3465400000000001E-2</v>
      </c>
    </row>
    <row r="72" spans="1:9">
      <c r="A72" s="2" t="s">
        <v>45</v>
      </c>
      <c r="B72" s="11">
        <v>-3.4964000000000002E-2</v>
      </c>
      <c r="C72" s="11">
        <v>1.93206E-2</v>
      </c>
      <c r="D72" s="11">
        <v>-7.2831599999999996E-2</v>
      </c>
      <c r="E72" s="11">
        <v>2.9036999999999999E-3</v>
      </c>
    </row>
    <row r="75" spans="1:9">
      <c r="B75" s="1" t="s">
        <v>47</v>
      </c>
      <c r="C75" s="1" t="s">
        <v>48</v>
      </c>
      <c r="D75" s="1" t="s">
        <v>49</v>
      </c>
      <c r="E75" s="1" t="s">
        <v>50</v>
      </c>
      <c r="F75" s="1" t="s">
        <v>57</v>
      </c>
      <c r="G75" s="1"/>
      <c r="H75" s="1"/>
    </row>
    <row r="76" spans="1:9">
      <c r="A76" s="2" t="s">
        <v>58</v>
      </c>
      <c r="B76" s="20">
        <v>21</v>
      </c>
      <c r="C76" s="20">
        <v>11743.9</v>
      </c>
      <c r="D76" s="20">
        <v>11867.69</v>
      </c>
      <c r="E76" s="20">
        <v>-5850.951</v>
      </c>
      <c r="F76" s="20">
        <v>11701.9</v>
      </c>
      <c r="G76" s="2"/>
      <c r="H76" s="2"/>
      <c r="I76" s="2"/>
    </row>
    <row r="77" spans="1:9">
      <c r="A77" s="2" t="s">
        <v>51</v>
      </c>
      <c r="B77" s="20">
        <v>22</v>
      </c>
      <c r="C77" s="20">
        <v>11744.67</v>
      </c>
      <c r="D77" s="20">
        <v>11874.35</v>
      </c>
      <c r="E77" s="20">
        <v>-5850.335</v>
      </c>
      <c r="F77" s="20">
        <v>11700.67</v>
      </c>
      <c r="G77" s="2"/>
      <c r="H77" s="2"/>
      <c r="I77" s="2"/>
    </row>
    <row r="78" spans="1:9">
      <c r="A78" s="2" t="s">
        <v>52</v>
      </c>
      <c r="B78" s="20">
        <v>29</v>
      </c>
      <c r="C78" s="20">
        <v>11883.77</v>
      </c>
      <c r="D78" s="20">
        <v>12054.71</v>
      </c>
      <c r="E78" s="20">
        <v>-5912.884</v>
      </c>
      <c r="F78" s="20">
        <v>11825.77</v>
      </c>
      <c r="G78" s="2"/>
      <c r="H78" s="2"/>
      <c r="I78" s="2"/>
    </row>
    <row r="79" spans="1:9">
      <c r="A79" s="2" t="s">
        <v>53</v>
      </c>
      <c r="B79" s="20">
        <v>30</v>
      </c>
      <c r="C79" s="20">
        <v>11756.37</v>
      </c>
      <c r="D79" s="20">
        <v>11933.21</v>
      </c>
      <c r="E79" s="20">
        <v>-5848.1869999999999</v>
      </c>
      <c r="F79" s="20">
        <v>11696.37</v>
      </c>
      <c r="G79" s="2"/>
      <c r="H79" s="2"/>
      <c r="I79" s="2"/>
    </row>
    <row r="80" spans="1:9">
      <c r="A80" s="2" t="s">
        <v>54</v>
      </c>
      <c r="B80" s="20">
        <v>31</v>
      </c>
      <c r="C80" s="20">
        <v>11754.97</v>
      </c>
      <c r="D80" s="20">
        <v>11937.7</v>
      </c>
      <c r="E80" s="20">
        <v>-5846.4840000000004</v>
      </c>
      <c r="F80" s="20">
        <v>11692.97</v>
      </c>
      <c r="G80" s="2"/>
      <c r="H80" s="2"/>
      <c r="I80" s="2"/>
    </row>
    <row r="81" spans="1:9">
      <c r="A81" s="2" t="s">
        <v>55</v>
      </c>
      <c r="B81" s="20">
        <v>31</v>
      </c>
      <c r="C81" s="20">
        <v>11754.97</v>
      </c>
      <c r="D81" s="20">
        <v>11937.7</v>
      </c>
      <c r="E81" s="20">
        <v>-5846.4840000000004</v>
      </c>
      <c r="F81" s="20">
        <v>11692.97</v>
      </c>
      <c r="G81" s="2"/>
      <c r="H81" s="2"/>
      <c r="I81" s="2"/>
    </row>
    <row r="82" spans="1:9">
      <c r="A82" s="2" t="s">
        <v>56</v>
      </c>
      <c r="B82" s="20">
        <v>33</v>
      </c>
      <c r="C82" s="20">
        <v>11754.75</v>
      </c>
      <c r="D82" s="20">
        <v>11949.28</v>
      </c>
      <c r="E82" s="20">
        <v>-5844.375</v>
      </c>
      <c r="F82" s="20">
        <v>11688.75</v>
      </c>
      <c r="G82" s="2"/>
      <c r="H82" s="2"/>
      <c r="I82" s="2"/>
    </row>
    <row r="84" spans="1:9">
      <c r="A84" s="2" t="s">
        <v>71</v>
      </c>
      <c r="B84" s="21">
        <v>2.5000000000000001E-2</v>
      </c>
      <c r="C84" s="21">
        <v>0.97499999999999998</v>
      </c>
      <c r="D84" s="1" t="s">
        <v>59</v>
      </c>
    </row>
    <row r="85" spans="1:9">
      <c r="A85" s="2" t="s">
        <v>60</v>
      </c>
      <c r="B85" s="5">
        <v>1.3798443</v>
      </c>
      <c r="C85" s="5">
        <v>2.0924466000000002</v>
      </c>
      <c r="D85" s="5">
        <v>1.6991912</v>
      </c>
    </row>
    <row r="86" spans="1:9">
      <c r="A86" s="2" t="s">
        <v>61</v>
      </c>
      <c r="B86" s="5">
        <v>1.3464855</v>
      </c>
      <c r="C86" s="5">
        <v>2.1012955999999998</v>
      </c>
      <c r="D86" s="5">
        <v>1.6820713</v>
      </c>
    </row>
    <row r="87" spans="1:9">
      <c r="A87" s="2" t="s">
        <v>62</v>
      </c>
      <c r="B87" s="5">
        <v>1.303337</v>
      </c>
      <c r="C87" s="5">
        <v>2.0256147000000002</v>
      </c>
      <c r="D87" s="5">
        <v>1.6248256999999999</v>
      </c>
    </row>
    <row r="88" spans="1:9">
      <c r="A88" s="2" t="s">
        <v>63</v>
      </c>
      <c r="B88" s="5">
        <v>1.066694</v>
      </c>
      <c r="C88" s="5">
        <v>1.7244257999999999</v>
      </c>
      <c r="D88" s="5">
        <v>1.3562576</v>
      </c>
    </row>
    <row r="89" spans="1:9">
      <c r="A89" s="2" t="s">
        <v>72</v>
      </c>
      <c r="B89" s="5">
        <v>1.1826734000000001</v>
      </c>
      <c r="C89" s="5">
        <v>1.7756453000000001</v>
      </c>
      <c r="D89" s="5">
        <v>1.4491406</v>
      </c>
    </row>
    <row r="90" spans="1:9">
      <c r="A90" s="2" t="s">
        <v>70</v>
      </c>
      <c r="B90" s="5">
        <v>0</v>
      </c>
      <c r="C90" s="5" t="s">
        <v>14</v>
      </c>
      <c r="D90" s="5">
        <v>1.3630000000000001E-4</v>
      </c>
    </row>
    <row r="91" spans="1:9">
      <c r="A91" s="2" t="s">
        <v>65</v>
      </c>
      <c r="B91" s="5">
        <v>0.16212850000000001</v>
      </c>
      <c r="C91" s="5">
        <v>3.1825730000000001</v>
      </c>
      <c r="D91" s="5">
        <v>0.7183214</v>
      </c>
    </row>
    <row r="92" spans="1:9">
      <c r="A92" s="2" t="s">
        <v>64</v>
      </c>
      <c r="B92" s="5">
        <v>0</v>
      </c>
      <c r="C92" s="5" t="s">
        <v>14</v>
      </c>
      <c r="D92" s="5">
        <v>2.3692000000000001E-3</v>
      </c>
    </row>
    <row r="93" spans="1:9">
      <c r="A93" s="2" t="s">
        <v>66</v>
      </c>
      <c r="B93" s="5">
        <v>3.0358E-3</v>
      </c>
      <c r="C93" s="5">
        <v>49.907075499999998</v>
      </c>
      <c r="D93" s="5">
        <v>0.3892388</v>
      </c>
    </row>
    <row r="94" spans="1:9">
      <c r="A94" s="2" t="s">
        <v>69</v>
      </c>
      <c r="B94" s="5">
        <v>8.30819E-2</v>
      </c>
      <c r="C94" s="5">
        <v>0.35488059999999999</v>
      </c>
      <c r="D94" s="5">
        <v>0.17170949999999999</v>
      </c>
    </row>
    <row r="95" spans="1:9">
      <c r="A95" s="2" t="s">
        <v>67</v>
      </c>
      <c r="B95" s="5">
        <v>9.4114299999999998E-2</v>
      </c>
      <c r="C95" s="5">
        <v>0.39011940000000001</v>
      </c>
      <c r="D95" s="5">
        <v>0.1916137</v>
      </c>
    </row>
    <row r="96" spans="1:9">
      <c r="A96" s="2" t="s">
        <v>68</v>
      </c>
      <c r="B96" s="5">
        <v>2.6068999999999998E-2</v>
      </c>
      <c r="C96" s="5">
        <v>0.50909389999999999</v>
      </c>
      <c r="D96" s="5">
        <v>0.11520229999999999</v>
      </c>
    </row>
    <row r="97" spans="1:4">
      <c r="A97" s="2"/>
      <c r="B97" s="5"/>
      <c r="C97" s="5"/>
      <c r="D97" s="5"/>
    </row>
    <row r="98" spans="1:4">
      <c r="A98" s="2"/>
      <c r="B98" s="5"/>
      <c r="C98" s="5"/>
      <c r="D9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AA0C-04E1-8641-9677-C32BAA94077F}">
  <dimension ref="A1:F31"/>
  <sheetViews>
    <sheetView workbookViewId="0">
      <selection activeCell="G31" sqref="G31"/>
    </sheetView>
  </sheetViews>
  <sheetFormatPr baseColWidth="10" defaultRowHeight="16"/>
  <cols>
    <col min="1" max="1" width="17.5" style="23" customWidth="1"/>
    <col min="2" max="16384" width="10.83203125" style="23"/>
  </cols>
  <sheetData>
    <row r="1" spans="1:6">
      <c r="A1" s="23" t="s">
        <v>75</v>
      </c>
    </row>
    <row r="3" spans="1:6">
      <c r="A3" s="23" t="s">
        <v>76</v>
      </c>
      <c r="B3" s="23" t="s">
        <v>59</v>
      </c>
      <c r="C3" s="23" t="s">
        <v>78</v>
      </c>
      <c r="D3" s="23" t="s">
        <v>79</v>
      </c>
      <c r="E3" s="23" t="s">
        <v>80</v>
      </c>
      <c r="F3" s="23" t="s">
        <v>81</v>
      </c>
    </row>
    <row r="4" spans="1:6">
      <c r="A4" s="23" t="s">
        <v>38</v>
      </c>
      <c r="B4" s="23">
        <v>0.32</v>
      </c>
      <c r="C4" s="23">
        <v>0.06</v>
      </c>
      <c r="D4" s="23">
        <v>0.2</v>
      </c>
      <c r="E4" s="23">
        <v>0.44</v>
      </c>
      <c r="F4" s="23">
        <v>1.01</v>
      </c>
    </row>
    <row r="5" spans="1:6">
      <c r="A5" s="23" t="s">
        <v>82</v>
      </c>
      <c r="B5" s="23">
        <v>0.91</v>
      </c>
      <c r="C5" s="23">
        <v>0.04</v>
      </c>
      <c r="D5" s="23">
        <v>0.84</v>
      </c>
      <c r="E5" s="23">
        <v>0.98</v>
      </c>
      <c r="F5" s="23">
        <v>1.01</v>
      </c>
    </row>
    <row r="6" spans="1:6">
      <c r="A6" s="23" t="s">
        <v>87</v>
      </c>
      <c r="B6" s="23">
        <v>0.45</v>
      </c>
      <c r="C6" s="23">
        <v>0.09</v>
      </c>
      <c r="D6" s="23">
        <v>0.28000000000000003</v>
      </c>
      <c r="E6" s="23">
        <v>0.63</v>
      </c>
      <c r="F6" s="23">
        <v>1</v>
      </c>
    </row>
    <row r="7" spans="1:6">
      <c r="A7" s="23" t="s">
        <v>88</v>
      </c>
      <c r="B7" s="23">
        <v>5.0999999999999997E-2</v>
      </c>
      <c r="C7" s="23">
        <v>0.06</v>
      </c>
      <c r="D7" s="23">
        <v>0.41</v>
      </c>
      <c r="E7" s="23">
        <v>0.68</v>
      </c>
      <c r="F7" s="23">
        <v>1.02</v>
      </c>
    </row>
    <row r="8" spans="1:6">
      <c r="A8" s="23" t="s">
        <v>77</v>
      </c>
      <c r="B8" s="23">
        <v>0.23</v>
      </c>
      <c r="C8" s="23">
        <v>0.03</v>
      </c>
      <c r="D8" s="23">
        <v>0.16</v>
      </c>
      <c r="E8" s="23">
        <v>0.28999999999999998</v>
      </c>
      <c r="F8" s="23">
        <v>1</v>
      </c>
    </row>
    <row r="10" spans="1:6">
      <c r="A10" s="23" t="s">
        <v>84</v>
      </c>
      <c r="B10" s="23" t="s">
        <v>59</v>
      </c>
      <c r="C10" s="23" t="s">
        <v>78</v>
      </c>
      <c r="D10" s="23" t="s">
        <v>79</v>
      </c>
      <c r="E10" s="23" t="s">
        <v>80</v>
      </c>
      <c r="F10" s="23" t="s">
        <v>81</v>
      </c>
    </row>
    <row r="11" spans="1:6">
      <c r="A11" s="23" t="s">
        <v>38</v>
      </c>
      <c r="B11" s="23">
        <v>0.52</v>
      </c>
      <c r="C11" s="23">
        <v>0.11</v>
      </c>
      <c r="D11" s="23">
        <v>0.23</v>
      </c>
      <c r="E11" s="23">
        <v>0.69</v>
      </c>
      <c r="F11" s="23">
        <v>1.03</v>
      </c>
    </row>
    <row r="12" spans="1:6">
      <c r="A12" s="23" t="s">
        <v>87</v>
      </c>
      <c r="B12" s="23">
        <v>0.53</v>
      </c>
      <c r="C12" s="23">
        <v>0.06</v>
      </c>
      <c r="D12" s="23">
        <v>0.42</v>
      </c>
      <c r="E12" s="23">
        <v>0.63</v>
      </c>
      <c r="F12" s="23">
        <v>1</v>
      </c>
    </row>
    <row r="13" spans="1:6">
      <c r="A13" s="23" t="s">
        <v>77</v>
      </c>
      <c r="B13" s="23">
        <v>0.39</v>
      </c>
      <c r="C13" s="23">
        <v>0.04</v>
      </c>
      <c r="D13" s="23">
        <v>0.31</v>
      </c>
      <c r="E13" s="23">
        <v>0.46</v>
      </c>
      <c r="F13" s="23">
        <v>1</v>
      </c>
    </row>
    <row r="15" spans="1:6">
      <c r="A15" s="23" t="s">
        <v>85</v>
      </c>
      <c r="B15" s="23" t="s">
        <v>59</v>
      </c>
      <c r="C15" s="23" t="s">
        <v>78</v>
      </c>
      <c r="D15" s="23" t="s">
        <v>79</v>
      </c>
      <c r="E15" s="23" t="s">
        <v>80</v>
      </c>
      <c r="F15" s="23" t="s">
        <v>81</v>
      </c>
    </row>
    <row r="16" spans="1:6">
      <c r="A16" s="23" t="s">
        <v>38</v>
      </c>
      <c r="B16" s="23">
        <v>1.51</v>
      </c>
      <c r="C16" s="23">
        <v>0.1</v>
      </c>
      <c r="D16" s="23">
        <v>1.32</v>
      </c>
      <c r="E16" s="23">
        <v>1.7</v>
      </c>
      <c r="F16" s="23">
        <v>1</v>
      </c>
    </row>
    <row r="17" spans="1:6">
      <c r="A17" s="23" t="s">
        <v>87</v>
      </c>
      <c r="B17" s="23">
        <v>0.88</v>
      </c>
      <c r="C17" s="23">
        <v>0.06</v>
      </c>
      <c r="D17" s="23">
        <v>0.77</v>
      </c>
      <c r="E17" s="23">
        <v>1</v>
      </c>
      <c r="F17" s="23">
        <v>1.01</v>
      </c>
    </row>
    <row r="18" spans="1:6">
      <c r="A18" s="23" t="s">
        <v>77</v>
      </c>
      <c r="B18" s="23">
        <v>0.62</v>
      </c>
      <c r="C18" s="23">
        <v>0.04</v>
      </c>
      <c r="D18" s="23">
        <v>0.55000000000000004</v>
      </c>
      <c r="E18" s="23">
        <v>0.7</v>
      </c>
      <c r="F18" s="23">
        <v>1</v>
      </c>
    </row>
    <row r="21" spans="1:6">
      <c r="A21" s="23" t="s">
        <v>86</v>
      </c>
    </row>
    <row r="22" spans="1:6">
      <c r="B22" s="23" t="s">
        <v>59</v>
      </c>
      <c r="C22" s="23" t="s">
        <v>78</v>
      </c>
      <c r="D22" s="23" t="s">
        <v>79</v>
      </c>
      <c r="E22" s="23" t="s">
        <v>80</v>
      </c>
      <c r="F22" s="23" t="s">
        <v>81</v>
      </c>
    </row>
    <row r="23" spans="1:6">
      <c r="A23" s="23" t="s">
        <v>38</v>
      </c>
      <c r="B23" s="23">
        <v>0.2</v>
      </c>
      <c r="C23" s="23">
        <v>0.03</v>
      </c>
      <c r="D23" s="23">
        <v>0.14000000000000001</v>
      </c>
      <c r="E23" s="23">
        <v>0.25</v>
      </c>
      <c r="F23" s="23">
        <v>1</v>
      </c>
    </row>
    <row r="24" spans="1:6">
      <c r="A24" s="23" t="s">
        <v>87</v>
      </c>
      <c r="B24" s="23">
        <v>0.02</v>
      </c>
      <c r="C24" s="23">
        <v>0.02</v>
      </c>
      <c r="D24" s="23">
        <v>0</v>
      </c>
      <c r="E24" s="23">
        <v>7.0000000000000007E-2</v>
      </c>
      <c r="F24" s="23">
        <v>1</v>
      </c>
    </row>
    <row r="25" spans="1:6">
      <c r="A25" s="23" t="s">
        <v>77</v>
      </c>
      <c r="B25" s="23">
        <v>0.04</v>
      </c>
      <c r="C25" s="23">
        <v>0.02</v>
      </c>
      <c r="D25" s="23">
        <v>1</v>
      </c>
      <c r="E25" s="23">
        <v>7.0000000000000007E-2</v>
      </c>
      <c r="F25" s="23">
        <v>1</v>
      </c>
    </row>
    <row r="27" spans="1:6">
      <c r="A27" s="23" t="s">
        <v>83</v>
      </c>
    </row>
    <row r="28" spans="1:6">
      <c r="B28" s="23" t="s">
        <v>59</v>
      </c>
      <c r="C28" s="23" t="s">
        <v>78</v>
      </c>
      <c r="D28" s="23" t="s">
        <v>79</v>
      </c>
      <c r="E28" s="23" t="s">
        <v>80</v>
      </c>
      <c r="F28" s="23" t="s">
        <v>81</v>
      </c>
    </row>
    <row r="29" spans="1:6">
      <c r="A29" s="23" t="s">
        <v>38</v>
      </c>
      <c r="B29" s="23">
        <v>114.79</v>
      </c>
      <c r="C29" s="23">
        <v>53.61</v>
      </c>
      <c r="D29" s="23">
        <v>53.56</v>
      </c>
      <c r="E29" s="23">
        <v>254.35</v>
      </c>
      <c r="F29" s="23">
        <v>1.01</v>
      </c>
    </row>
    <row r="30" spans="1:6">
      <c r="A30" s="23" t="s">
        <v>87</v>
      </c>
      <c r="B30" s="23">
        <v>8.85</v>
      </c>
      <c r="C30" s="23">
        <v>1.19</v>
      </c>
      <c r="D30" s="23">
        <v>6.34</v>
      </c>
      <c r="E30" s="23">
        <v>11.1</v>
      </c>
      <c r="F30" s="23">
        <v>1.02</v>
      </c>
    </row>
    <row r="31" spans="1:6">
      <c r="A31" s="23" t="s">
        <v>77</v>
      </c>
      <c r="B31" s="23">
        <v>0.63</v>
      </c>
      <c r="C31" s="23">
        <v>0.01</v>
      </c>
      <c r="D31" s="23">
        <v>0.61</v>
      </c>
      <c r="E31" s="23">
        <v>0.66</v>
      </c>
      <c r="F31" s="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295F-77A1-6243-82A4-40E8CAAEDA4B}">
  <dimension ref="A1:L65"/>
  <sheetViews>
    <sheetView tabSelected="1" workbookViewId="0">
      <selection activeCell="A13" sqref="A13"/>
    </sheetView>
  </sheetViews>
  <sheetFormatPr baseColWidth="10" defaultRowHeight="16"/>
  <cols>
    <col min="1" max="1" width="57.6640625" style="23" customWidth="1"/>
    <col min="2" max="3" width="10.83203125" style="23"/>
    <col min="4" max="4" width="17.83203125" style="23" customWidth="1"/>
    <col min="5" max="16384" width="10.83203125" style="23"/>
  </cols>
  <sheetData>
    <row r="1" spans="1:12">
      <c r="A1" s="23" t="s">
        <v>104</v>
      </c>
      <c r="D1" s="23" t="s">
        <v>159</v>
      </c>
    </row>
    <row r="2" spans="1:12">
      <c r="A2" s="27" t="s">
        <v>89</v>
      </c>
      <c r="C2" s="23" t="s">
        <v>7</v>
      </c>
      <c r="D2" s="23" t="s">
        <v>160</v>
      </c>
      <c r="E2" s="23" t="s">
        <v>161</v>
      </c>
      <c r="F2" s="23" t="s">
        <v>77</v>
      </c>
    </row>
    <row r="3" spans="1:12">
      <c r="A3" s="27" t="s">
        <v>90</v>
      </c>
      <c r="C3" s="23" t="s">
        <v>13</v>
      </c>
      <c r="D3" s="23">
        <v>-1.74</v>
      </c>
      <c r="E3" s="23">
        <v>-1.37</v>
      </c>
      <c r="F3" s="27">
        <v>-0.98699999999999999</v>
      </c>
    </row>
    <row r="4" spans="1:12">
      <c r="A4" s="27" t="s">
        <v>91</v>
      </c>
      <c r="C4" s="23" t="s">
        <v>15</v>
      </c>
      <c r="D4" s="23">
        <v>-2.17</v>
      </c>
      <c r="E4" s="23">
        <v>-1.67</v>
      </c>
      <c r="F4" s="27">
        <v>-1.2350000000000001</v>
      </c>
      <c r="L4" s="26"/>
    </row>
    <row r="5" spans="1:12">
      <c r="A5" s="27" t="s">
        <v>92</v>
      </c>
      <c r="C5" s="23" t="s">
        <v>16</v>
      </c>
      <c r="D5" s="23">
        <v>-2.36</v>
      </c>
      <c r="E5" s="23">
        <v>-1.78</v>
      </c>
      <c r="F5" s="27">
        <v>-1.3</v>
      </c>
      <c r="L5" s="26"/>
    </row>
    <row r="6" spans="1:12">
      <c r="A6" s="27" t="s">
        <v>93</v>
      </c>
      <c r="C6" s="23" t="s">
        <v>10</v>
      </c>
      <c r="D6" s="23">
        <v>-1.83</v>
      </c>
      <c r="E6" s="23">
        <v>-1.4</v>
      </c>
      <c r="F6" s="27">
        <v>-1.099</v>
      </c>
    </row>
    <row r="7" spans="1:12">
      <c r="A7" s="27"/>
      <c r="F7" s="27"/>
    </row>
    <row r="8" spans="1:12">
      <c r="A8" s="27"/>
    </row>
    <row r="9" spans="1:12">
      <c r="F9" s="27"/>
      <c r="L9" s="26"/>
    </row>
    <row r="10" spans="1:12">
      <c r="A10" s="27"/>
      <c r="F10" s="27"/>
      <c r="L10" s="26"/>
    </row>
    <row r="11" spans="1:12">
      <c r="A11" s="27" t="s">
        <v>96</v>
      </c>
      <c r="F11" s="27"/>
    </row>
    <row r="12" spans="1:12">
      <c r="A12" s="27" t="s">
        <v>97</v>
      </c>
      <c r="F12" s="27"/>
    </row>
    <row r="13" spans="1:12">
      <c r="A13" s="27" t="s">
        <v>98</v>
      </c>
      <c r="F13" s="27"/>
      <c r="L13" s="26"/>
    </row>
    <row r="14" spans="1:12">
      <c r="A14" s="27" t="s">
        <v>99</v>
      </c>
      <c r="F14" s="27"/>
      <c r="L14" s="26"/>
    </row>
    <row r="15" spans="1:12">
      <c r="A15" s="27" t="s">
        <v>100</v>
      </c>
      <c r="F15" s="27"/>
    </row>
    <row r="16" spans="1:12">
      <c r="A16" s="27" t="s">
        <v>101</v>
      </c>
      <c r="F16" s="27"/>
    </row>
    <row r="17" spans="1:6">
      <c r="A17" s="27" t="s">
        <v>102</v>
      </c>
      <c r="F17" s="27"/>
    </row>
    <row r="18" spans="1:6">
      <c r="F18" s="27"/>
    </row>
    <row r="19" spans="1:6">
      <c r="A19" s="27"/>
    </row>
    <row r="20" spans="1:6">
      <c r="A20" s="27"/>
    </row>
    <row r="21" spans="1:6">
      <c r="A21" s="27"/>
    </row>
    <row r="24" spans="1:6">
      <c r="A24" s="23" t="s">
        <v>105</v>
      </c>
    </row>
    <row r="25" spans="1:6">
      <c r="A25" s="27" t="s">
        <v>106</v>
      </c>
      <c r="F25" s="27"/>
    </row>
    <row r="26" spans="1:6">
      <c r="A26" s="27" t="s">
        <v>107</v>
      </c>
      <c r="F26" s="27"/>
    </row>
    <row r="27" spans="1:6">
      <c r="A27" s="27" t="s">
        <v>108</v>
      </c>
      <c r="F27" s="27"/>
    </row>
    <row r="28" spans="1:6">
      <c r="A28" s="27" t="s">
        <v>109</v>
      </c>
      <c r="F28" s="27"/>
    </row>
    <row r="29" spans="1:6">
      <c r="A29" s="27" t="s">
        <v>110</v>
      </c>
      <c r="F29" s="27"/>
    </row>
    <row r="30" spans="1:6">
      <c r="F30" s="27"/>
    </row>
    <row r="31" spans="1:6">
      <c r="A31" s="27"/>
      <c r="F31" s="27"/>
    </row>
    <row r="32" spans="1:6">
      <c r="A32" s="27"/>
    </row>
    <row r="33" spans="1:9">
      <c r="A33" s="27"/>
      <c r="F33" s="27"/>
    </row>
    <row r="34" spans="1:9">
      <c r="A34" s="27" t="s">
        <v>96</v>
      </c>
      <c r="F34" s="27"/>
    </row>
    <row r="35" spans="1:9">
      <c r="A35" s="27" t="s">
        <v>111</v>
      </c>
      <c r="F35" s="27"/>
    </row>
    <row r="36" spans="1:9">
      <c r="A36" s="27" t="s">
        <v>112</v>
      </c>
      <c r="F36" s="27"/>
    </row>
    <row r="37" spans="1:9">
      <c r="A37" s="27" t="s">
        <v>113</v>
      </c>
      <c r="F37" s="27"/>
    </row>
    <row r="38" spans="1:9">
      <c r="A38" s="27" t="s">
        <v>114</v>
      </c>
      <c r="F38" s="27"/>
    </row>
    <row r="39" spans="1:9">
      <c r="A39" s="27" t="s">
        <v>115</v>
      </c>
      <c r="F39" s="27"/>
    </row>
    <row r="40" spans="1:9">
      <c r="A40" s="27" t="s">
        <v>116</v>
      </c>
      <c r="F40" s="27"/>
    </row>
    <row r="41" spans="1:9">
      <c r="F41" s="27"/>
    </row>
    <row r="42" spans="1:9">
      <c r="A42" s="23" t="s">
        <v>117</v>
      </c>
      <c r="F42" s="27"/>
    </row>
    <row r="43" spans="1:9" ht="356">
      <c r="A43" s="25" t="s">
        <v>118</v>
      </c>
      <c r="I43" s="27"/>
    </row>
    <row r="44" spans="1:9">
      <c r="I44" s="27"/>
    </row>
    <row r="45" spans="1:9">
      <c r="I45" s="27"/>
    </row>
    <row r="46" spans="1:9">
      <c r="I46" s="27"/>
    </row>
    <row r="47" spans="1:9">
      <c r="I47" s="27"/>
    </row>
    <row r="48" spans="1:9">
      <c r="I48" s="27"/>
    </row>
    <row r="49" spans="9:9">
      <c r="I49" s="27"/>
    </row>
    <row r="50" spans="9:9">
      <c r="I50" s="27"/>
    </row>
    <row r="52" spans="9:9">
      <c r="I52" s="27"/>
    </row>
    <row r="53" spans="9:9">
      <c r="I53" s="27"/>
    </row>
    <row r="54" spans="9:9">
      <c r="I54" s="27"/>
    </row>
    <row r="55" spans="9:9">
      <c r="I55" s="27"/>
    </row>
    <row r="56" spans="9:9">
      <c r="I56" s="27"/>
    </row>
    <row r="57" spans="9:9">
      <c r="I57" s="27"/>
    </row>
    <row r="58" spans="9:9">
      <c r="I58" s="27"/>
    </row>
    <row r="59" spans="9:9">
      <c r="I59" s="27"/>
    </row>
    <row r="60" spans="9:9">
      <c r="I60" s="27"/>
    </row>
    <row r="61" spans="9:9">
      <c r="I61" s="27"/>
    </row>
    <row r="63" spans="9:9">
      <c r="I63" s="27"/>
    </row>
    <row r="64" spans="9:9">
      <c r="I64" s="27"/>
    </row>
    <row r="65" spans="9:9">
      <c r="I65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B984-4A18-B842-987D-28825292A752}">
  <dimension ref="A1:T78"/>
  <sheetViews>
    <sheetView workbookViewId="0">
      <selection activeCell="F13" sqref="E13:F13"/>
    </sheetView>
  </sheetViews>
  <sheetFormatPr baseColWidth="10" defaultRowHeight="16"/>
  <cols>
    <col min="15" max="15" width="12.83203125" customWidth="1"/>
  </cols>
  <sheetData>
    <row r="1" spans="1:20">
      <c r="A1" s="23" t="s">
        <v>6</v>
      </c>
      <c r="B1" s="23"/>
      <c r="C1" s="23"/>
      <c r="D1" s="23"/>
      <c r="E1" s="23"/>
      <c r="F1" s="23"/>
      <c r="G1" s="23"/>
      <c r="H1" s="23" t="s">
        <v>153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>
      <c r="A2" s="23"/>
      <c r="B2" s="27" t="s">
        <v>119</v>
      </c>
      <c r="C2" s="23"/>
      <c r="D2" s="23"/>
      <c r="E2" s="23"/>
      <c r="F2" s="23"/>
      <c r="G2" s="23"/>
      <c r="H2" s="23" t="s">
        <v>103</v>
      </c>
      <c r="I2" s="23"/>
      <c r="J2" s="23"/>
      <c r="K2" s="23"/>
      <c r="L2" s="23"/>
      <c r="M2" s="23"/>
      <c r="N2" s="23"/>
      <c r="O2" s="23" t="s">
        <v>162</v>
      </c>
      <c r="P2" s="23"/>
      <c r="Q2" s="23"/>
      <c r="R2" s="23"/>
      <c r="S2" s="23"/>
      <c r="T2" s="23"/>
    </row>
    <row r="3" spans="1:20">
      <c r="A3" s="23"/>
      <c r="B3" s="27" t="s">
        <v>120</v>
      </c>
      <c r="C3" s="23"/>
      <c r="D3" s="23"/>
      <c r="E3" s="23"/>
      <c r="F3" s="23"/>
      <c r="G3" s="23"/>
      <c r="H3" s="24" t="s">
        <v>154</v>
      </c>
      <c r="I3" s="23"/>
      <c r="J3" s="23"/>
      <c r="K3" s="23"/>
      <c r="L3" s="23"/>
      <c r="M3" s="23"/>
      <c r="N3" s="23"/>
      <c r="O3" s="28" t="s">
        <v>44</v>
      </c>
      <c r="P3" s="23" t="s">
        <v>59</v>
      </c>
      <c r="Q3" s="23" t="s">
        <v>164</v>
      </c>
      <c r="R3" s="23" t="s">
        <v>163</v>
      </c>
      <c r="S3" s="23"/>
      <c r="T3" s="23"/>
    </row>
    <row r="4" spans="1:20">
      <c r="A4" s="23"/>
      <c r="B4" s="27" t="s">
        <v>121</v>
      </c>
      <c r="C4" s="23"/>
      <c r="D4" s="23"/>
      <c r="E4" s="23"/>
      <c r="F4" s="23"/>
      <c r="G4" s="23"/>
      <c r="H4" s="24" t="s">
        <v>155</v>
      </c>
      <c r="I4" s="23"/>
      <c r="J4" s="23"/>
      <c r="K4" s="23"/>
      <c r="L4" s="23"/>
      <c r="M4" s="23"/>
      <c r="N4" s="23"/>
      <c r="O4" s="23" t="s">
        <v>160</v>
      </c>
      <c r="P4" s="23">
        <v>-9.74E-2</v>
      </c>
      <c r="Q4" s="23">
        <v>-0.14099999999999999</v>
      </c>
      <c r="R4" s="23">
        <v>-5.6599999999999998E-2</v>
      </c>
      <c r="S4" s="23"/>
      <c r="T4" s="23"/>
    </row>
    <row r="5" spans="1:20">
      <c r="A5" s="23"/>
      <c r="B5" s="27" t="s">
        <v>122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 t="s">
        <v>161</v>
      </c>
      <c r="P5" s="23">
        <v>-4.4900000000000002E-2</v>
      </c>
      <c r="Q5" s="23">
        <v>-6.7799999999999999E-2</v>
      </c>
      <c r="R5" s="23">
        <v>-2.1000000000000001E-2</v>
      </c>
      <c r="S5" s="23"/>
      <c r="T5" s="23"/>
    </row>
    <row r="6" spans="1:20">
      <c r="A6" s="23"/>
      <c r="B6" s="27" t="s">
        <v>123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 t="s">
        <v>77</v>
      </c>
      <c r="P6" s="23">
        <v>-0.03</v>
      </c>
      <c r="Q6" s="23">
        <v>-4.5499999999999999E-2</v>
      </c>
      <c r="R6" s="23">
        <v>-1.4200000000000001E-2</v>
      </c>
      <c r="S6" s="23"/>
      <c r="T6" s="23"/>
    </row>
    <row r="7" spans="1:20">
      <c r="A7" s="23"/>
      <c r="B7" s="23"/>
      <c r="C7" s="23"/>
      <c r="D7" s="23"/>
      <c r="E7" s="23"/>
      <c r="F7" s="23"/>
      <c r="G7" s="23"/>
      <c r="H7" s="23" t="s">
        <v>157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spans="1:20">
      <c r="A8" s="23"/>
      <c r="B8" s="27" t="s">
        <v>124</v>
      </c>
      <c r="C8" s="23"/>
      <c r="D8" s="23"/>
      <c r="E8" s="23"/>
      <c r="F8" s="23"/>
      <c r="G8" s="23"/>
      <c r="H8" s="24" t="s">
        <v>154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1:20">
      <c r="A9" s="23"/>
      <c r="B9" s="27" t="s">
        <v>94</v>
      </c>
      <c r="C9" s="23"/>
      <c r="D9" s="23"/>
      <c r="E9" s="23"/>
      <c r="F9" s="23"/>
      <c r="G9" s="23"/>
      <c r="H9" s="24" t="s">
        <v>156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1:20">
      <c r="A10" s="23"/>
      <c r="B10" s="27" t="s">
        <v>95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0">
      <c r="A11" s="23"/>
      <c r="B11" s="27" t="s">
        <v>96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0">
      <c r="A12" s="23"/>
      <c r="B12" s="27" t="s">
        <v>125</v>
      </c>
      <c r="C12" s="23"/>
      <c r="D12" s="23"/>
      <c r="E12" s="23"/>
      <c r="F12" s="23"/>
      <c r="G12" s="23"/>
      <c r="H12" s="24" t="s">
        <v>154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>
      <c r="A13" s="23"/>
      <c r="B13" s="27" t="s">
        <v>126</v>
      </c>
      <c r="C13" s="23"/>
      <c r="D13" s="23"/>
      <c r="E13" s="23"/>
      <c r="F13" s="23"/>
      <c r="G13" s="23"/>
      <c r="H13" s="24" t="s">
        <v>158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0">
      <c r="A14" s="23"/>
      <c r="B14" s="27" t="s">
        <v>127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0">
      <c r="A15" s="23"/>
      <c r="B15" s="27" t="s">
        <v>128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</row>
    <row r="16" spans="1:20">
      <c r="A16" s="23"/>
      <c r="B16" s="27" t="s">
        <v>129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spans="1:20">
      <c r="A17" s="23"/>
      <c r="B17" s="27" t="s">
        <v>130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</row>
    <row r="18" spans="1:20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 spans="1:20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 spans="1: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 spans="1:20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 spans="1:20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 spans="1:20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 spans="1:20">
      <c r="A24" s="23"/>
      <c r="B24" s="27" t="s">
        <v>94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>
      <c r="A25" s="23"/>
      <c r="B25" s="27" t="s">
        <v>95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spans="1:20">
      <c r="A26" s="23"/>
      <c r="B26" s="27" t="s">
        <v>131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>
      <c r="A27" s="23"/>
      <c r="B27" s="27" t="s">
        <v>132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  <row r="28" spans="1:20">
      <c r="A28" s="23"/>
      <c r="B28" s="27" t="s">
        <v>133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</row>
    <row r="29" spans="1:20">
      <c r="A29" s="23"/>
      <c r="B29" s="27" t="s">
        <v>134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 spans="1:20">
      <c r="A30" s="23"/>
      <c r="B30" s="27" t="s">
        <v>135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spans="1:20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</row>
    <row r="32" spans="1:20">
      <c r="A32" s="23"/>
      <c r="B32" s="27" t="s">
        <v>124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</row>
    <row r="33" spans="1:20">
      <c r="A33" s="23"/>
      <c r="B33" s="27" t="s">
        <v>94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 spans="1:20">
      <c r="A34" s="23"/>
      <c r="B34" s="27" t="s">
        <v>95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spans="1:20">
      <c r="A35" s="23"/>
      <c r="B35" s="27" t="s">
        <v>96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</row>
    <row r="36" spans="1:20">
      <c r="A36" s="23"/>
      <c r="B36" s="27" t="s">
        <v>136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spans="1:20">
      <c r="A37" s="23"/>
      <c r="B37" s="27" t="s">
        <v>137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</row>
    <row r="38" spans="1:20">
      <c r="A38" s="23"/>
      <c r="B38" s="27" t="s">
        <v>138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</row>
    <row r="39" spans="1:20">
      <c r="A39" s="23"/>
      <c r="B39" s="27" t="s">
        <v>139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</row>
    <row r="40" spans="1:20">
      <c r="A40" s="23"/>
      <c r="B40" s="27" t="s">
        <v>140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</row>
    <row r="41" spans="1:20">
      <c r="A41" s="23"/>
      <c r="B41" s="27" t="s">
        <v>141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</row>
    <row r="42" spans="1:20">
      <c r="A42" s="23"/>
      <c r="B42" s="23"/>
      <c r="C42" s="23"/>
      <c r="D42" s="23"/>
      <c r="E42" s="27" t="s">
        <v>124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</row>
    <row r="43" spans="1:20">
      <c r="A43" s="23"/>
      <c r="B43" s="23"/>
      <c r="C43" s="23"/>
      <c r="D43" s="23"/>
      <c r="E43" s="27" t="s">
        <v>94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</row>
    <row r="44" spans="1:20">
      <c r="A44" s="23"/>
      <c r="B44" s="23"/>
      <c r="C44" s="23"/>
      <c r="D44" s="23"/>
      <c r="E44" s="27" t="s">
        <v>95</v>
      </c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</row>
    <row r="45" spans="1:20">
      <c r="A45" s="23"/>
      <c r="B45" s="23"/>
      <c r="C45" s="23"/>
      <c r="D45" s="23"/>
      <c r="E45" s="27" t="s">
        <v>131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</row>
    <row r="46" spans="1:20">
      <c r="A46" s="23"/>
      <c r="B46" s="23"/>
      <c r="C46" s="23"/>
      <c r="D46" s="23"/>
      <c r="E46" s="27" t="s">
        <v>142</v>
      </c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</row>
    <row r="47" spans="1:20">
      <c r="A47" s="23"/>
      <c r="B47" s="23"/>
      <c r="C47" s="23"/>
      <c r="D47" s="23"/>
      <c r="E47" s="27" t="s">
        <v>143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</row>
    <row r="48" spans="1:20">
      <c r="A48" s="23"/>
      <c r="B48" s="23"/>
      <c r="C48" s="23"/>
      <c r="D48" s="23"/>
      <c r="E48" s="27" t="s">
        <v>144</v>
      </c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</row>
    <row r="49" spans="1:20">
      <c r="A49" s="23"/>
      <c r="B49" s="23"/>
      <c r="C49" s="23"/>
      <c r="D49" s="23"/>
      <c r="E49" s="27" t="s">
        <v>145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</row>
    <row r="50" spans="1:2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</row>
    <row r="51" spans="1:20">
      <c r="A51" s="23"/>
      <c r="B51" s="23"/>
      <c r="C51" s="23"/>
      <c r="D51" s="23"/>
      <c r="E51" s="27" t="s">
        <v>124</v>
      </c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</row>
    <row r="52" spans="1:20">
      <c r="A52" s="23"/>
      <c r="B52" s="23"/>
      <c r="C52" s="23"/>
      <c r="D52" s="23"/>
      <c r="E52" s="27" t="s">
        <v>94</v>
      </c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  <row r="53" spans="1:20">
      <c r="A53" s="23"/>
      <c r="B53" s="23"/>
      <c r="C53" s="23"/>
      <c r="D53" s="23"/>
      <c r="E53" s="27" t="s">
        <v>95</v>
      </c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</row>
    <row r="54" spans="1:20">
      <c r="A54" s="23"/>
      <c r="B54" s="23"/>
      <c r="C54" s="23"/>
      <c r="D54" s="23"/>
      <c r="E54" s="27" t="s">
        <v>146</v>
      </c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</row>
    <row r="55" spans="1:20">
      <c r="A55" s="23"/>
      <c r="B55" s="23"/>
      <c r="C55" s="23"/>
      <c r="D55" s="23"/>
      <c r="E55" s="27" t="s">
        <v>147</v>
      </c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</row>
    <row r="56" spans="1:20">
      <c r="A56" s="23"/>
      <c r="B56" s="23"/>
      <c r="C56" s="23"/>
      <c r="D56" s="23"/>
      <c r="E56" s="27" t="s">
        <v>148</v>
      </c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  <row r="57" spans="1:20">
      <c r="A57" s="23"/>
      <c r="B57" s="23"/>
      <c r="C57" s="23"/>
      <c r="D57" s="23"/>
      <c r="E57" s="27" t="s">
        <v>149</v>
      </c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</row>
    <row r="58" spans="1:20">
      <c r="A58" s="23"/>
      <c r="B58" s="23"/>
      <c r="C58" s="23"/>
      <c r="D58" s="23"/>
      <c r="E58" s="27" t="s">
        <v>150</v>
      </c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</row>
    <row r="59" spans="1:20">
      <c r="A59" s="23"/>
      <c r="B59" s="23"/>
      <c r="C59" s="23"/>
      <c r="D59" s="23"/>
      <c r="E59" s="27" t="s">
        <v>151</v>
      </c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</row>
    <row r="60" spans="1:20">
      <c r="A60" s="23"/>
      <c r="B60" s="23"/>
      <c r="C60" s="23"/>
      <c r="D60" s="23"/>
      <c r="E60" s="27" t="s">
        <v>152</v>
      </c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</row>
    <row r="61" spans="1:20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</row>
    <row r="62" spans="1:20">
      <c r="A62" s="23"/>
      <c r="B62" s="23"/>
      <c r="C62" s="23"/>
      <c r="D62" s="23"/>
      <c r="E62" s="27" t="s">
        <v>124</v>
      </c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</row>
    <row r="63" spans="1:20">
      <c r="A63" s="23"/>
      <c r="B63" s="23"/>
      <c r="C63" s="23"/>
      <c r="D63" s="23"/>
      <c r="E63" s="27" t="s">
        <v>94</v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</row>
    <row r="64" spans="1:20">
      <c r="A64" s="23"/>
      <c r="B64" s="23"/>
      <c r="C64" s="23"/>
      <c r="D64" s="23"/>
      <c r="E64" s="27" t="s">
        <v>95</v>
      </c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</row>
    <row r="65" spans="1:20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</row>
    <row r="66" spans="1:20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</row>
    <row r="67" spans="1:20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</row>
    <row r="68" spans="1:20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</row>
    <row r="69" spans="1:20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</row>
    <row r="70" spans="1:2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</row>
    <row r="71" spans="1:20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</row>
    <row r="72" spans="1:20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 spans="1:20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 spans="1:20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</row>
    <row r="75" spans="1:20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</row>
    <row r="76" spans="1:20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</row>
    <row r="77" spans="1:20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</row>
    <row r="78" spans="1:20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Daniel</dc:creator>
  <cp:lastModifiedBy>Cohen, Daniel</cp:lastModifiedBy>
  <dcterms:created xsi:type="dcterms:W3CDTF">2026-04-30T11:58:43Z</dcterms:created>
  <dcterms:modified xsi:type="dcterms:W3CDTF">2026-05-24T14:18:39Z</dcterms:modified>
</cp:coreProperties>
</file>